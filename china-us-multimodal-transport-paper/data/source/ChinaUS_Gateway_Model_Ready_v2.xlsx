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tables/table14.xml" ContentType="application/vnd.openxmlformats-officedocument.spreadsheetml.table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e6f745108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5634d2708614ce4"/>
    <x:sheet xmlns:r="http://schemas.openxmlformats.org/officeDocument/2006/relationships" name="Baseline_Inputs" sheetId="2" r:id="R4beb4cc7963f4ef2"/>
    <x:sheet xmlns:r="http://schemas.openxmlformats.org/officeDocument/2006/relationships" name="Ocean_Freight" sheetId="3" r:id="Rae4d5421f1d2427d"/>
    <x:sheet xmlns:r="http://schemas.openxmlformats.org/officeDocument/2006/relationships" name="Ocean_Transit" sheetId="4" r:id="Re00a861ed1214200"/>
    <x:sheet xmlns:r="http://schemas.openxmlformats.org/officeDocument/2006/relationships" name="Panama" sheetId="5" r:id="R4bdf0221ffec4b85"/>
    <x:sheet xmlns:r="http://schemas.openxmlformats.org/officeDocument/2006/relationships" name="US_Inland" sheetId="6" r:id="R2fc4023cb97648ec"/>
    <x:sheet xmlns:r="http://schemas.openxmlformats.org/officeDocument/2006/relationships" name="Gateways_Destinations" sheetId="7" r:id="R41d66028377d45ac"/>
    <x:sheet xmlns:r="http://schemas.openxmlformats.org/officeDocument/2006/relationships" name="Terminal_China" sheetId="8" r:id="R251d92f7444b4de7"/>
    <x:sheet xmlns:r="http://schemas.openxmlformats.org/officeDocument/2006/relationships" name="Data_Gaps" sheetId="9" r:id="R32ce178778254c91"/>
    <x:sheet xmlns:r="http://schemas.openxmlformats.org/officeDocument/2006/relationships" name="Nodes" sheetId="10" r:id="Rc2703d0d8bd6489d"/>
    <x:sheet xmlns:r="http://schemas.openxmlformats.org/officeDocument/2006/relationships" name="Arcs_All" sheetId="11" r:id="R4250c2245f224366"/>
    <x:sheet xmlns:r="http://schemas.openxmlformats.org/officeDocument/2006/relationships" name="Timetable" sheetId="12" r:id="R8a5c289cf65e432d"/>
    <x:sheet xmlns:r="http://schemas.openxmlformats.org/officeDocument/2006/relationships" name="Service_Departures_8wk" sheetId="13" r:id="R6ede425f13294d53"/>
    <x:sheet xmlns:r="http://schemas.openxmlformats.org/officeDocument/2006/relationships" name="Transshipment_Model" sheetId="14" r:id="R2847f48ac8da4cf3"/>
    <x:sheet xmlns:r="http://schemas.openxmlformats.org/officeDocument/2006/relationships" name="Model_Parameters" sheetId="15" r:id="R2416f35b8f98487b"/>
    <x:sheet xmlns:r="http://schemas.openxmlformats.org/officeDocument/2006/relationships" name="Batches" sheetId="16" r:id="R4afa1495023d4e79"/>
    <x:sheet xmlns:r="http://schemas.openxmlformats.org/officeDocument/2006/relationships" name="Batches_Chicago" sheetId="17" r:id="Rcb356c01ab654352"/>
    <x:sheet xmlns:r="http://schemas.openxmlformats.org/officeDocument/2006/relationships" name="Batches_Memphis" sheetId="18" r:id="R7b5fa9fd43ad4c72"/>
    <x:sheet xmlns:r="http://schemas.openxmlformats.org/officeDocument/2006/relationships" name="Batches_Columbus" sheetId="19" r:id="R2aed9d6e41b14db8"/>
    <x:sheet xmlns:r="http://schemas.openxmlformats.org/officeDocument/2006/relationships" name="Model_Input_Notes" sheetId="20" r:id="Re0f7b775435e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$#,##0.00"/>
    <x:numFmt numFmtId="202" formatCode="0.0000"/>
  </x:numFmts>
  <x:fonts count="5">
    <x:font>
      <x:sz val="11"/>
      <x:name val="Carlito"/>
    </x:font>
    <x:font>
      <x:b/>
      <x:sz val="11"/>
      <x:name val="Carlito"/>
    </x:font>
    <x:font>
      <x:i/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4" fillId="5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/>
    <x:xf numFmtId="201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3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da8e65cb55496e" /><Relationship Type="http://schemas.openxmlformats.org/officeDocument/2006/relationships/theme" Target="/xl/theme/theme1.xml" Id="Rf5a4d1abcbbf4704" /><Relationship Type="http://schemas.openxmlformats.org/officeDocument/2006/relationships/sharedStrings" Target="/xl/sharedStrings.xml" Id="Rb1697ce2650a47a5" /><Relationship Type="http://schemas.openxmlformats.org/officeDocument/2006/relationships/worksheet" Target="/xl/worksheets/sheet1.xml" Id="R35634d2708614ce4" /><Relationship Type="http://schemas.openxmlformats.org/officeDocument/2006/relationships/worksheet" Target="/xl/worksheets/sheet2.xml" Id="R4beb4cc7963f4ef2" /><Relationship Type="http://schemas.openxmlformats.org/officeDocument/2006/relationships/worksheet" Target="/xl/worksheets/sheet3.xml" Id="Rae4d5421f1d2427d" /><Relationship Type="http://schemas.openxmlformats.org/officeDocument/2006/relationships/worksheet" Target="/xl/worksheets/sheet4.xml" Id="Re00a861ed1214200" /><Relationship Type="http://schemas.openxmlformats.org/officeDocument/2006/relationships/worksheet" Target="/xl/worksheets/sheet5.xml" Id="R4bdf0221ffec4b85" /><Relationship Type="http://schemas.openxmlformats.org/officeDocument/2006/relationships/worksheet" Target="/xl/worksheets/sheet6.xml" Id="R2fc4023cb97648ec" /><Relationship Type="http://schemas.openxmlformats.org/officeDocument/2006/relationships/worksheet" Target="/xl/worksheets/sheet7.xml" Id="R41d66028377d45ac" /><Relationship Type="http://schemas.openxmlformats.org/officeDocument/2006/relationships/worksheet" Target="/xl/worksheets/sheet8.xml" Id="R251d92f7444b4de7" /><Relationship Type="http://schemas.openxmlformats.org/officeDocument/2006/relationships/worksheet" Target="/xl/worksheets/sheet9.xml" Id="R32ce178778254c91" /><Relationship Type="http://schemas.openxmlformats.org/officeDocument/2006/relationships/worksheet" Target="/xl/worksheets/sheet10.xml" Id="Rc2703d0d8bd6489d" /><Relationship Type="http://schemas.openxmlformats.org/officeDocument/2006/relationships/worksheet" Target="/xl/worksheets/sheet11.xml" Id="R4250c2245f224366" /><Relationship Type="http://schemas.openxmlformats.org/officeDocument/2006/relationships/worksheet" Target="/xl/worksheets/sheet12.xml" Id="R8a5c289cf65e432d" /><Relationship Type="http://schemas.openxmlformats.org/officeDocument/2006/relationships/worksheet" Target="/xl/worksheets/sheet13.xml" Id="R6ede425f13294d53" /><Relationship Type="http://schemas.openxmlformats.org/officeDocument/2006/relationships/worksheet" Target="/xl/worksheets/sheet14.xml" Id="R2847f48ac8da4cf3" /><Relationship Type="http://schemas.openxmlformats.org/officeDocument/2006/relationships/worksheet" Target="/xl/worksheets/sheet15.xml" Id="R2416f35b8f98487b" /><Relationship Type="http://schemas.openxmlformats.org/officeDocument/2006/relationships/worksheet" Target="/xl/worksheets/sheet16.xml" Id="R4afa1495023d4e79" /><Relationship Type="http://schemas.openxmlformats.org/officeDocument/2006/relationships/worksheet" Target="/xl/worksheets/sheet17.xml" Id="Rcb356c01ab654352" /><Relationship Type="http://schemas.openxmlformats.org/officeDocument/2006/relationships/worksheet" Target="/xl/worksheets/sheet18.xml" Id="R7b5fa9fd43ad4c72" /><Relationship Type="http://schemas.openxmlformats.org/officeDocument/2006/relationships/worksheet" Target="/xl/worksheets/sheet19.xml" Id="R2aed9d6e41b14db8" /><Relationship Type="http://schemas.openxmlformats.org/officeDocument/2006/relationships/worksheet" Target="/xl/worksheets/sheet20.xml" Id="Re0f7b775435e4821" /></Relationships>
</file>

<file path=xl/tables/table1.xml><?xml version="1.0" encoding="utf-8"?>
<x:table xmlns:x="http://schemas.openxmlformats.org/spreadsheetml/2006/main" id="1" name="BaselineInputsTable" displayName="BaselineInputsTable" ref="A3:H13" headerRowCount="1" totalsRowCount="0" totalsRowShown="0">
  <x:tableColumns count="8">
    <x:tableColumn id="1" name="Category"/>
    <x:tableColumn id="2" name="Parameter"/>
    <x:tableColumn id="3" name="Baseline value"/>
    <x:tableColumn id="4" name="Unit"/>
    <x:tableColumn id="5" name="Basis"/>
    <x:tableColumn id="6" name="Model use"/>
    <x:tableColumn id="7" name="Source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ceanFreightTable" displayName="OceanFreightTable" ref="A3:F11" headerRowCount="1" totalsRowCount="0" totalsRowShown="0">
  <x:tableColumns count="6">
    <x:tableColumn id="1" name="Date / week"/>
    <x:tableColumn id="2" name="Shanghai → LA"/>
    <x:tableColumn id="3" name="Shanghai → NY"/>
    <x:tableColumn id="4" name="ΔF = NY − LA"/>
    <x:tableColumn id="5" name="Unit"/>
    <x:tableColumn id="6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ceanTransitTable" displayName="OceanTransitTable" ref="A3:F10" headerRowCount="1" totalsRowCount="0" totalsRowShown="0">
  <x:tableColumns count="6">
    <x:tableColumn id="1" name="Leg"/>
    <x:tableColumn id="2" name="Transit time"/>
    <x:tableColumn id="3" name="Type"/>
    <x:tableColumn id="4" name="Source quality"/>
    <x:tableColumn id="5" name="Source / literature"/>
    <x:tableColumn id="6" name="U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SInlandTable" displayName="USInlandTable" ref="A3:G10" headerRowCount="1" totalsRowCount="0" totalsRowShown="0">
  <x:tableColumns count="7">
    <x:tableColumn id="1" name="Leg / metric"/>
    <x:tableColumn id="2" name="Value"/>
    <x:tableColumn id="3" name="Unit"/>
    <x:tableColumn id="4" name="Service / basis"/>
    <x:tableColumn id="5" name="Source quality"/>
    <x:tableColumn id="6" name="Source"/>
    <x:tableColumn id="7" name="Model u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rminalChinaTable" displayName="TerminalChinaTable" ref="A3:F10" headerRowCount="1" totalsRowCount="0" totalsRowShown="0">
  <x:tableColumns count="6">
    <x:tableColumn id="1" name="Item"/>
    <x:tableColumn id="2" name="Value / finding"/>
    <x:tableColumn id="3" name="Unit"/>
    <x:tableColumn id="4" name="Source quality"/>
    <x:tableColumn id="5" name="Source"/>
    <x:tableColumn id="6" name="Recommended u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GapsTable" displayName="DataGapsTable" ref="A3:D9" headerRowCount="1" totalsRowCount="0" totalsRowShown="0">
  <x:tableColumns count="4">
    <x:tableColumn id="1" name="Gap"/>
    <x:tableColumn id="2" name="Why it matters"/>
    <x:tableColumn id="3" name="Agreed workaround"/>
    <x:tableColumn id="4" name="Prior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NodesModelTable" displayName="NodesModelTable" ref="A3:J12" headerRowCount="1" totalsRowCount="0" totalsRowShown="0">
  <x:tableColumns count="10">
    <x:tableColumn id="1" name="EnglishName"/>
    <x:tableColumn id="2" name="Region"/>
    <x:tableColumn id="3" name="NodeCap_TEUh"/>
    <x:tableColumn id="4" name="RegionGroup"/>
    <x:tableColumn id="5" name="NodeCap_TEUday"/>
    <x:tableColumn id="6" name="NodeType"/>
    <x:tableColumn id="7" name="Country"/>
    <x:tableColumn id="8" name="DataStatus"/>
    <x:tableColumn id="9" name="Source_URL"/>
    <x:tableColumn id="10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rcsModelTable" displayName="ArcsModelTable" ref="A3:T31" headerRowCount="1" totalsRowCount="0" totalsRowShown="0">
  <x:tableColumns count="20">
    <x:tableColumn id="1" name="ArcID"/>
    <x:tableColumn id="2" name="OriginEN"/>
    <x:tableColumn id="3" name="DestEN"/>
    <x:tableColumn id="4" name="Mode"/>
    <x:tableColumn id="5" name="Distance_km"/>
    <x:tableColumn id="6" name="Cost_$_per_km"/>
    <x:tableColumn id="7" name="OriginRegionCode"/>
    <x:tableColumn id="8" name="DestRegionCode"/>
    <x:tableColumn id="9" name="OriginRegionGroup"/>
    <x:tableColumn id="10" name="DestRegionGroup"/>
    <x:tableColumn id="11" name="IsBorderArc"/>
    <x:tableColumn id="12" name="Capacity_TEUday"/>
    <x:tableColumn id="13" name="Capacity_TEUh"/>
    <x:tableColumn id="14" name="TransitTime_h"/>
    <x:tableColumn id="15" name="Scheduled_YN"/>
    <x:tableColumn id="16" name="PanamaExposed"/>
    <x:tableColumn id="17" name="TotalCost_USD_per_TEU"/>
    <x:tableColumn id="18" name="DataStatus"/>
    <x:tableColumn id="19" name="Source_URL"/>
    <x:tableColumn id="20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imetableModelTable" displayName="TimetableModelTable" ref="A3:L20" headerRowCount="1" totalsRowCount="0" totalsRowShown="0">
  <x:tableColumns count="12">
    <x:tableColumn id="1" name="ServiceID"/>
    <x:tableColumn id="2" name="OriginEN"/>
    <x:tableColumn id="3" name="DestEN"/>
    <x:tableColumn id="4" name="Mode"/>
    <x:tableColumn id="5" name="Frequency_per_week"/>
    <x:tableColumn id="6" name="time"/>
    <x:tableColumn id="7" name="FirstDepartureHour"/>
    <x:tableColumn id="8" name="Headway_Hours"/>
    <x:tableColumn id="9" name="Capacity_TEUday"/>
    <x:tableColumn id="10" name="DataStatus"/>
    <x:tableColumn id="11" name="Source_URL"/>
    <x:tableColumn id="12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epartures8wkTable" displayName="Departures8wkTable" ref="A3:H499" headerRowCount="1" totalsRowCount="0" totalsRowShown="0">
  <x:tableColumns count="8">
    <x:tableColumn id="1" name="ServiceID"/>
    <x:tableColumn id="2" name="DepartureNo"/>
    <x:tableColumn id="3" name="OriginEN"/>
    <x:tableColumn id="4" name="DestEN"/>
    <x:tableColumn id="5" name="Mode"/>
    <x:tableColumn id="6" name="DepartureHour"/>
    <x:tableColumn id="7" name="ArrivalHour"/>
    <x:tableColumn id="8" name="WeekIndex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ransshipmentModelTable" displayName="TransshipmentModelTable" ref="A3:H35" headerRowCount="1" totalsRowCount="0" totalsRowShown="0">
  <x:tableColumns count="8">
    <x:tableColumn id="1" name="Node"/>
    <x:tableColumn id="2" name="NodeType"/>
    <x:tableColumn id="3" name="FromMode"/>
    <x:tableColumn id="4" name="ToMode"/>
    <x:tableColumn id="5" name="TransferCost_USD_per_TEU"/>
    <x:tableColumn id="6" name="TransferTime_h"/>
    <x:tableColumn id="7" name="DataStatus"/>
    <x:tableColumn id="8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BatchesTable" displayName="BatchesTable" ref="A3:L43" headerRowCount="1" totalsRowCount="0" totalsRowShown="0">
  <x:tableColumns count="12">
    <x:tableColumn id="1" name="BatchID"/>
    <x:tableColumn id="2" name="OriginEN"/>
    <x:tableColumn id="3" name="DestEN"/>
    <x:tableColumn id="4" name="QuantityTEU"/>
    <x:tableColumn id="5" name="ET"/>
    <x:tableColumn id="6" name="LT"/>
    <x:tableColumn id="7" name="PenaltyCost_per_TEU_h"/>
    <x:tableColumn id="8" name="DefaultRoute_Nodes"/>
    <x:tableColumn id="9" name="DefaultRoute_Modes"/>
    <x:tableColumn id="10" name="CaseID"/>
    <x:tableColumn id="11" name="DataStatus"/>
    <x:tableColumn id="12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BatchesChicagoTable" displayName="BatchesChicagoTable" ref="A3:L43" headerRowCount="1" totalsRowCount="0" totalsRowShown="0">
  <x:tableColumns count="12">
    <x:tableColumn id="1" name="BatchID"/>
    <x:tableColumn id="2" name="OriginEN"/>
    <x:tableColumn id="3" name="DestEN"/>
    <x:tableColumn id="4" name="QuantityTEU"/>
    <x:tableColumn id="5" name="ET"/>
    <x:tableColumn id="6" name="LT"/>
    <x:tableColumn id="7" name="PenaltyCost_per_TEU_h"/>
    <x:tableColumn id="8" name="DefaultRoute_Nodes"/>
    <x:tableColumn id="9" name="DefaultRoute_Modes"/>
    <x:tableColumn id="10" name="CaseID"/>
    <x:tableColumn id="11" name="DataStatus"/>
    <x:tableColumn id="12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BatchesMemphisTable" displayName="BatchesMemphisTable" ref="A3:L43" headerRowCount="1" totalsRowCount="0" totalsRowShown="0">
  <x:tableColumns count="12">
    <x:tableColumn id="1" name="BatchID"/>
    <x:tableColumn id="2" name="OriginEN"/>
    <x:tableColumn id="3" name="DestEN"/>
    <x:tableColumn id="4" name="QuantityTEU"/>
    <x:tableColumn id="5" name="ET"/>
    <x:tableColumn id="6" name="LT"/>
    <x:tableColumn id="7" name="PenaltyCost_per_TEU_h"/>
    <x:tableColumn id="8" name="DefaultRoute_Nodes"/>
    <x:tableColumn id="9" name="DefaultRoute_Modes"/>
    <x:tableColumn id="10" name="CaseID"/>
    <x:tableColumn id="11" name="DataStatus"/>
    <x:tableColumn id="12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BatchesColumbusTable" displayName="BatchesColumbusTable" ref="A3:L43" headerRowCount="1" totalsRowCount="0" totalsRowShown="0">
  <x:tableColumns count="12">
    <x:tableColumn id="1" name="BatchID"/>
    <x:tableColumn id="2" name="OriginEN"/>
    <x:tableColumn id="3" name="DestEN"/>
    <x:tableColumn id="4" name="QuantityTEU"/>
    <x:tableColumn id="5" name="ET"/>
    <x:tableColumn id="6" name="LT"/>
    <x:tableColumn id="7" name="PenaltyCost_per_TEU_h"/>
    <x:tableColumn id="8" name="DefaultRoute_Nodes"/>
    <x:tableColumn id="9" name="DefaultRoute_Modes"/>
    <x:tableColumn id="10" name="CaseID"/>
    <x:tableColumn id="11" name="DataStatus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750edf363847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2c00bd85ed40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f595c7db5c4f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ed2f35856944b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936e5b8f01d84b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a26d140b2f914aa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acea02447d5f41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086c1fa96454ca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04aaa84e9b414f1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baf6c13201e423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86bc067c888741c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2.xml" Id="R40bb4c7e53774ba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3.xml" Id="Re77f1d9cf85846e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4.xml" Id="Ra1814c9b3898464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5.xml" Id="R5df6674cf93e49b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17" t="str">
        <x:v>China–US Gateway Selection — Data Workbook</x:v>
      </x:c>
      <x:c r="B1" s="17"/>
      <x:c r="C1" s="17"/>
      <x:c r="D1" s="17"/>
      <x:c r="E1" s="17"/>
      <x:c r="F1" s="17"/>
      <x:c r="G1" s="17"/>
      <x:c r="H1" s="17"/>
    </x:row>
    <x:row r="3">
      <x:c r="A3" s="4" t="str">
        <x:v>Framework keyword</x:v>
      </x:c>
      <x:c r="B3" t="str">
        <x:v>ChinaUS-Gateway</x:v>
      </x:c>
    </x:row>
    <x:row r="4">
      <x:c r="A4" s="4" t="str">
        <x:v>Paper focus</x:v>
      </x:c>
      <x:c r="B4" t="str">
        <x:v>China–US scheduled multi-batch multimodal freight routing</x:v>
      </x:c>
    </x:row>
    <x:row r="5">
      <x:c r="A5" s="4" t="str">
        <x:v>Objectives</x:v>
      </x:c>
      <x:c r="B5" t="str">
        <x:v>Cost + Makespan only</x:v>
      </x:c>
    </x:row>
    <x:row r="6">
      <x:c r="A6" s="4" t="str">
        <x:v>Core comparison</x:v>
      </x:c>
      <x:c r="B6" t="str">
        <x:v>West Coast landbridge vs East Coast all-water</x:v>
      </x:c>
    </x:row>
    <x:row r="7">
      <x:c r="A7" s="4" t="str">
        <x:v>Method</x:v>
      </x:c>
      <x:c r="B7" t="str">
        <x:v>Martins candidate paths + improved NSGA-II</x:v>
      </x:c>
    </x:row>
    <x:row r="8">
      <x:c r="A8" s="4" t="str">
        <x:v>Main scenarios</x:v>
      </x:c>
      <x:c r="B8" t="str">
        <x:v>Panama operational restriction; USWC–USEC ocean freight-rate differential</x:v>
      </x:c>
    </x:row>
    <x:row r="9">
      <x:c r="A9" s="4" t="str">
        <x:v>Current destination preference</x:v>
      </x:c>
      <x:c r="B9" t="str">
        <x:v>Chicago – Memphis – Columbus (subject to final data feasibility check)</x:v>
      </x:c>
    </x:row>
    <x:row r="10">
      <x:c r="A10" s="4" t="str">
        <x:v>Workbook basis</x:v>
      </x:c>
      <x:c r="B10" t="str">
        <x:v>China-US_Gateway_Data_Collection_v1.md, compiled 6 Sep 2026</x:v>
      </x:c>
    </x:row>
    <x:row r="12">
      <x:c r="A12" s="10" t="str">
        <x:v>Baseline prices use representative averages for the deterministic model. Commercial/forwarder estimates are retained as calibration evidence, not treated as confidential carrier contract rates.</x:v>
      </x:c>
      <x:c r="B12" s="10"/>
      <x:c r="C12" s="10"/>
      <x:c r="D12" s="10"/>
      <x:c r="E12" s="10"/>
      <x:c r="F12" s="10"/>
      <x:c r="G12" s="10"/>
      <x:c r="H12" s="10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16" hidden="0" customWidth="1"/>
    <x:col min="5" max="5" width="40" hidden="0" customWidth="1"/>
    <x:col min="6" max="6" width="28" hidden="0" customWidth="1"/>
    <x:col min="7" max="7" width="55" hidden="0" customWidth="1"/>
    <x:col min="8" max="8" width="42" hidden="0" customWidth="1"/>
  </x:cols>
  <x:sheetData>
    <x:row r="1">
      <x:c r="A1" s="17" t="str">
        <x:v>Recommended Baseline Inputs for the First Pilot</x:v>
      </x:c>
      <x:c r="B1" s="17"/>
      <x:c r="C1" s="17"/>
      <x:c r="D1" s="17"/>
      <x:c r="E1" s="17"/>
      <x:c r="F1" s="17"/>
      <x:c r="G1" s="17"/>
      <x:c r="H1" s="17"/>
    </x:row>
    <x:row r="3">
      <x:c r="A3" s="28" t="str">
        <x:v>Category</x:v>
      </x:c>
      <x:c r="B3" s="28" t="str">
        <x:v>Parameter</x:v>
      </x:c>
      <x:c r="C3" s="28" t="str">
        <x:v>Baseline value</x:v>
      </x:c>
      <x:c r="D3" s="28" t="str">
        <x:v>Unit</x:v>
      </x:c>
      <x:c r="E3" s="28" t="str">
        <x:v>Basis</x:v>
      </x:c>
      <x:c r="F3" s="28" t="str">
        <x:v>Model use</x:v>
      </x:c>
      <x:c r="G3" s="28" t="str">
        <x:v>Source</x:v>
      </x:c>
      <x:c r="H3" s="28" t="str">
        <x:v>Notes</x:v>
      </x:c>
    </x:row>
    <x:row r="4">
      <x:c r="A4" s="34" t="str">
        <x:v>Ocean cost</x:v>
      </x:c>
      <x:c r="B4" s="34" t="str">
        <x:v>Shanghai → Los Angeles</x:v>
      </x:c>
      <x:c r="C4" s="35" t="n">
        <x:v>5861.75</x:v>
      </x:c>
      <x:c r="D4" s="34" t="str">
        <x:v>USD / 40ft</x:v>
      </x:c>
      <x:c r="E4" s="34" t="str">
        <x:v>Mean of 8 Drewry/WCI 2026 observations</x:v>
      </x:c>
      <x:c r="F4" s="34" t="str">
        <x:v>USWC ocean arc cost</x:v>
      </x:c>
      <x:c r="G4" s="34" t="str">
        <x:v>https://www.drewry.co.uk/supply-chain-advisors/supply-chain-expertise/world-container-index-assessed-by-drewry</x:v>
      </x:c>
      <x:c r="H4" s="34" t="str">
        <x:v>Representative average; inland transport excluded</x:v>
      </x:c>
    </x:row>
    <x:row r="5">
      <x:c r="A5" s="34" t="str">
        <x:v>Ocean cost</x:v>
      </x:c>
      <x:c r="B5" s="34" t="str">
        <x:v>Shanghai → New York</x:v>
      </x:c>
      <x:c r="C5" s="35" t="n">
        <x:v>7482</x:v>
      </x:c>
      <x:c r="D5" s="34" t="str">
        <x:v>USD / 40ft</x:v>
      </x:c>
      <x:c r="E5" s="34" t="str">
        <x:v>Mean of 8 Drewry/WCI 2026 observations</x:v>
      </x:c>
      <x:c r="F5" s="34" t="str">
        <x:v>USEC ocean arc cost</x:v>
      </x:c>
      <x:c r="G5" s="34" t="str">
        <x:v>https://www.drewry.co.uk/supply-chain-advisors/supply-chain-expertise/world-container-index-assessed-by-drewry</x:v>
      </x:c>
      <x:c r="H5" s="34" t="str">
        <x:v>Representative average; inland transport excluded</x:v>
      </x:c>
    </x:row>
    <x:row r="6">
      <x:c r="A6" s="34" t="str">
        <x:v>Ocean cost</x:v>
      </x:c>
      <x:c r="B6" s="34" t="str">
        <x:v>Average USEC premium ΔF</x:v>
      </x:c>
      <x:c r="C6" s="35" t="n">
        <x:v>1620.25</x:v>
      </x:c>
      <x:c r="D6" s="34" t="str">
        <x:v>USD / 40ft</x:v>
      </x:c>
      <x:c r="E6" s="34" t="str">
        <x:v>Mean of 8 weekly NY–LA differences</x:v>
      </x:c>
      <x:c r="F6" s="34" t="str">
        <x:v>Baseline E6 freight-rate differential</x:v>
      </x:c>
      <x:c r="G6" s="34" t="str">
        <x:v>https://www.drewry.co.uk/supply-chain-advisors/supply-chain-expertise/world-container-index-assessed-by-drewry</x:v>
      </x:c>
      <x:c r="H6" s="34" t="str">
        <x:v>Use one average for baseline; E6 can still test low/high differentials</x:v>
      </x:c>
    </x:row>
    <x:row r="7">
      <x:c r="A7" s="34" t="str">
        <x:v>US rail cost</x:v>
      </x:c>
      <x:c r="B7" s="34" t="str">
        <x:v>LA ↔ Chicago intermodal</x:v>
      </x:c>
      <x:c r="C7" s="35" t="n">
        <x:v>2100</x:v>
      </x:c>
      <x:c r="D7" s="34" t="str">
        <x:v>USD / load</x:v>
      </x:c>
      <x:c r="E7" s="34" t="str">
        <x:v>Midpoint of public $1,800–$2,400 range; supported by alternative $2,100 estimate</x:v>
      </x:c>
      <x:c r="F7" s="34" t="str">
        <x:v>US inland rail calibration</x:v>
      </x:c>
      <x:c r="G7" s="34" t="str">
        <x:v>https://www.up.com/announcements/intermodal/</x:v>
      </x:c>
      <x:c r="H7" s="34" t="str">
        <x:v>Domestic 53ft benchmark; not a confidential 40ft IPI contract rate</x:v>
      </x:c>
    </x:row>
    <x:row r="8">
      <x:c r="A8" s="34" t="str">
        <x:v>US road cost</x:v>
      </x:c>
      <x:c r="B8" s="34" t="str">
        <x:v>Dry van all-in spot</x:v>
      </x:c>
      <x:c r="C8" s="35" t="n">
        <x:v>2.93</x:v>
      </x:c>
      <x:c r="D8" s="34" t="str">
        <x:v>USD / mile</x:v>
      </x:c>
      <x:c r="E8" s="34" t="str">
        <x:v>2026 DAT all-in spot incl. fuel surcharge</x:v>
      </x:c>
      <x:c r="F8" s="34" t="str">
        <x:v>Road alternative cost coefficient</x:v>
      </x:c>
      <x:c r="G8" s="34" t="str">
        <x:v>https://www.dat.com/blog/</x:v>
      </x:c>
      <x:c r="H8" s="34" t="str">
        <x:v>Chosen instead of averaging incompatible spot/contract/ex-fuel series</x:v>
      </x:c>
    </x:row>
    <x:row r="9">
      <x:c r="A9" s="34" t="str">
        <x:v>Terminal handling</x:v>
      </x:c>
      <x:c r="B9" s="34" t="str">
        <x:v>Symmetric handling baseline</x:v>
      </x:c>
      <x:c r="C9" s="35" t="n">
        <x:v>250</x:v>
      </x:c>
      <x:c r="D9" s="34" t="str">
        <x:v>USD / container</x:v>
      </x:c>
      <x:c r="E9" s="34" t="str">
        <x:v>Midpoint of $150–$350 public range</x:v>
      </x:c>
      <x:c r="F9" s="34" t="str">
        <x:v>Transfer/handling cost</x:v>
      </x:c>
      <x:c r="G9" s="34" t="str"/>
      <x:c r="H9" s="34" t="str">
        <x:v>Use as fixed baseline, not a scenario variable</x:v>
      </x:c>
    </x:row>
    <x:row r="10">
      <x:c r="A10" s="34" t="str">
        <x:v>Panama scenario</x:v>
      </x:c>
      <x:c r="B10" s="34" t="str">
        <x:v>Normal α_Panama</x:v>
      </x:c>
      <x:c r="C10" s="35" t="n">
        <x:v>1</x:v>
      </x:c>
      <x:c r="D10" s="34" t="str">
        <x:v>multiplier</x:v>
      </x:c>
      <x:c r="E10" s="34" t="str">
        <x:v>Pre-restriction baseline</x:v>
      </x:c>
      <x:c r="F10" s="34" t="str">
        <x:v>E5</x:v>
      </x:c>
      <x:c r="G10" s="34" t="str">
        <x:v>https://pancanal.com/en/</x:v>
      </x:c>
      <x:c r="H10" s="34" t="str">
        <x:v>Effective service availability, not physical TEU capacity</x:v>
      </x:c>
    </x:row>
    <x:row r="11">
      <x:c r="A11" s="34" t="str">
        <x:v>Panama scenario</x:v>
      </x:c>
      <x:c r="B11" s="34" t="str">
        <x:v>Restricted α_Panama</x:v>
      </x:c>
      <x:c r="C11" s="35" t="n">
        <x:v>0.9</x:v>
      </x:c>
      <x:c r="D11" s="34" t="str">
        <x:v>multiplier</x:v>
      </x:c>
      <x:c r="E11" s="34" t="str">
        <x:v>32/36 total daily slots ≈ 0.889 and 9/10 Neopanamax ≈ 0.90</x:v>
      </x:c>
      <x:c r="F11" s="34" t="str">
        <x:v>E5</x:v>
      </x:c>
      <x:c r="G11" s="34" t="str">
        <x:v>https://pancanal.com/en/</x:v>
      </x:c>
      <x:c r="H11" s="34" t="str">
        <x:v>Empirically grounded 2026 restriction scenario</x:v>
      </x:c>
    </x:row>
    <x:row r="12">
      <x:c r="A12" s="34" t="str">
        <x:v>Panama scenario</x:v>
      </x:c>
      <x:c r="B12" s="34" t="str">
        <x:v>Stress α_Panama</x:v>
      </x:c>
      <x:c r="C12" s="35" t="n">
        <x:v>0.8</x:v>
      </x:c>
      <x:c r="D12" s="34" t="str">
        <x:v>multiplier</x:v>
      </x:c>
      <x:c r="E12" s="34" t="str">
        <x:v>Hypothetical stress extension</x:v>
      </x:c>
      <x:c r="F12" s="34" t="str">
        <x:v>E5</x:v>
      </x:c>
      <x:c r="G12" s="34" t="str">
        <x:v>https://pancanal.com/en/</x:v>
      </x:c>
      <x:c r="H12" s="34" t="str">
        <x:v>Label as stress test, not forecast</x:v>
      </x:c>
    </x:row>
    <x:row r="13">
      <x:c r="A13" s="34" t="str">
        <x:v>Rail time</x:v>
      </x:c>
      <x:c r="B13" s="34" t="str">
        <x:v>LA / Inland Empire → Chicago</x:v>
      </x:c>
      <x:c r="C13" s="35" t="n">
        <x:v>3</x:v>
      </x:c>
      <x:c r="D13" s="34" t="str">
        <x:v>days</x:v>
      </x:c>
      <x:c r="E13" s="34" t="str">
        <x:v>UP expedited intermodal service</x:v>
      </x:c>
      <x:c r="F13" s="34" t="str">
        <x:v>USWC inland timetable anchor</x:v>
      </x:c>
      <x:c r="G13" s="34" t="str">
        <x:v>https://www.up.com/announcements/intermodal/</x:v>
      </x:c>
      <x:c r="H13" s="34" t="str">
        <x:v>Published 5 days/week service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b750edf363847a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30" hidden="0" customWidth="1"/>
  </x:cols>
  <x:sheetData>
    <x:row r="1">
      <x:c r="A1" s="17" t="str">
        <x:v>Ocean Freight Rate Differential — Drewry WCI 2026</x:v>
      </x:c>
      <x:c r="B1" s="17"/>
      <x:c r="C1" s="17"/>
      <x:c r="D1" s="17"/>
      <x:c r="E1" s="17"/>
      <x:c r="F1" s="17"/>
    </x:row>
    <x:row r="3">
      <x:c r="A3" s="28" t="str">
        <x:v>Date / week</x:v>
      </x:c>
      <x:c r="B3" s="28" t="str">
        <x:v>Shanghai → LA</x:v>
      </x:c>
      <x:c r="C3" s="28" t="str">
        <x:v>Shanghai → NY</x:v>
      </x:c>
      <x:c r="D3" s="28" t="str">
        <x:v>ΔF = NY − LA</x:v>
      </x:c>
      <x:c r="E3" s="28" t="str">
        <x:v>Unit</x:v>
      </x:c>
      <x:c r="F3" s="28" t="str">
        <x:v>Source</x:v>
      </x:c>
    </x:row>
    <x:row r="4">
      <x:c r="A4" t="str">
        <x:v>Week 22 (~28 May)</x:v>
      </x:c>
      <x:c r="B4" s="38" t="n">
        <x:v>3473</x:v>
      </x:c>
      <x:c r="C4" s="38" t="n">
        <x:v>4597</x:v>
      </x:c>
      <x:c r="D4" s="38" t="n">
        <x:f>C4-B4</x:f>
        <x:v>1124</x:v>
      </x:c>
      <x:c r="E4" t="str">
        <x:v>USD / 40ft</x:v>
      </x:c>
      <x:c r="F4" t="str">
        <x:v>Shipping Telegraph / Drewry</x:v>
      </x:c>
    </x:row>
    <x:row r="5">
      <x:c r="A5" t="str">
        <x:v>Week 23 (~11 Jun)</x:v>
      </x:c>
      <x:c r="B5" s="38" t="n">
        <x:v>4565</x:v>
      </x:c>
      <x:c r="C5" s="38" t="n">
        <x:v>5505</x:v>
      </x:c>
      <x:c r="D5" s="38" t="n">
        <x:f>C5-B5</x:f>
        <x:v>940</x:v>
      </x:c>
      <x:c r="E5" t="str">
        <x:v>USD / 40ft</x:v>
      </x:c>
      <x:c r="F5" t="str">
        <x:v>Shipping Telegraph / Drewry</x:v>
      </x:c>
    </x:row>
    <x:row r="6">
      <x:c r="A6" t="str">
        <x:v>25 Jun</x:v>
      </x:c>
      <x:c r="B6" s="38" t="n">
        <x:v>5750</x:v>
      </x:c>
      <x:c r="C6" s="38" t="n">
        <x:v>7149</x:v>
      </x:c>
      <x:c r="D6" s="38" t="n">
        <x:f>C6-B6</x:f>
        <x:v>1399</x:v>
      </x:c>
      <x:c r="E6" t="str">
        <x:v>USD / 40ft</x:v>
      </x:c>
      <x:c r="F6" t="str">
        <x:v>FreshPlaza / Drewry</x:v>
      </x:c>
    </x:row>
    <x:row r="7">
      <x:c r="A7" t="str">
        <x:v>~2 Jul</x:v>
      </x:c>
      <x:c r="B7" s="38" t="n">
        <x:v>6349</x:v>
      </x:c>
      <x:c r="C7" s="38" t="n">
        <x:v>7902</x:v>
      </x:c>
      <x:c r="D7" s="38" t="n">
        <x:f>C7-B7</x:f>
        <x:v>1553</x:v>
      </x:c>
      <x:c r="E7" t="str">
        <x:v>USD / 40ft</x:v>
      </x:c>
      <x:c r="F7" t="str">
        <x:v>Shipping Telegraph / Drewry</x:v>
      </x:c>
    </x:row>
    <x:row r="8">
      <x:c r="A8" t="str">
        <x:v>9 Jul</x:v>
      </x:c>
      <x:c r="B8" s="38" t="n">
        <x:v>6482</x:v>
      </x:c>
      <x:c r="C8" s="38" t="n">
        <x:v>7904</x:v>
      </x:c>
      <x:c r="D8" s="38" t="n">
        <x:f>C8-B8</x:f>
        <x:v>1422</x:v>
      </x:c>
      <x:c r="E8" t="str">
        <x:v>USD / 40ft</x:v>
      </x:c>
      <x:c r="F8" t="str">
        <x:v>Shipping Telegraph / Drewry</x:v>
      </x:c>
    </x:row>
    <x:row r="9">
      <x:c r="A9" t="str">
        <x:v>Aug 2026</x:v>
      </x:c>
      <x:c r="B9" s="38" t="n">
        <x:v>6272</x:v>
      </x:c>
      <x:c r="C9" s="38" t="n">
        <x:v>7879</x:v>
      </x:c>
      <x:c r="D9" s="38" t="n">
        <x:f>C9-B9</x:f>
        <x:v>1607</x:v>
      </x:c>
      <x:c r="E9" t="str">
        <x:v>USD / 40ft</x:v>
      </x:c>
      <x:c r="F9" t="str">
        <x:v>MTS Insights / Drewry</x:v>
      </x:c>
    </x:row>
    <x:row r="10">
      <x:c r="A10" t="str">
        <x:v>27 Aug</x:v>
      </x:c>
      <x:c r="B10" s="38" t="n">
        <x:v>6818</x:v>
      </x:c>
      <x:c r="C10" s="38" t="n">
        <x:v>9333</x:v>
      </x:c>
      <x:c r="D10" s="38" t="n">
        <x:f>C10-B10</x:f>
        <x:v>2515</x:v>
      </x:c>
      <x:c r="E10" t="str">
        <x:v>USD / 40ft</x:v>
      </x:c>
      <x:c r="F10" t="str">
        <x:v>Drewry WCI</x:v>
      </x:c>
    </x:row>
    <x:row r="11">
      <x:c r="A11" t="str">
        <x:v>3 Sep</x:v>
      </x:c>
      <x:c r="B11" s="38" t="n">
        <x:v>7185</x:v>
      </x:c>
      <x:c r="C11" s="38" t="n">
        <x:v>9587</x:v>
      </x:c>
      <x:c r="D11" s="38" t="n">
        <x:f>C11-B11</x:f>
        <x:v>2402</x:v>
      </x:c>
      <x:c r="E11" t="str">
        <x:v>USD / 40ft</x:v>
      </x:c>
      <x:c r="F11" t="str">
        <x:v>Drewry WCI</x:v>
      </x:c>
    </x:row>
    <x:row r="12">
      <x:c r="B12" s="38"/>
      <x:c r="C12" s="38"/>
      <x:c r="D12" s="38"/>
    </x:row>
    <x:row r="13">
      <x:c r="A13" s="28" t="str">
        <x:v>Summary</x:v>
      </x:c>
      <x:c r="B13" s="39" t="str">
        <x:v>Value</x:v>
      </x:c>
      <x:c r="C13" s="38"/>
      <x:c r="D13" s="38"/>
    </x:row>
    <x:row r="14">
      <x:c r="A14" t="str">
        <x:v>Average LA</x:v>
      </x:c>
      <x:c r="B14" s="38" t="n">
        <x:f>AVERAGE(B4:B11)</x:f>
        <x:v>5861.75</x:v>
      </x:c>
      <x:c r="C14" s="38"/>
      <x:c r="D14" s="38"/>
    </x:row>
    <x:row r="15">
      <x:c r="A15" t="str">
        <x:v>Average NY</x:v>
      </x:c>
      <x:c r="B15" s="38" t="n">
        <x:f>AVERAGE(C4:C11)</x:f>
        <x:v>7482</x:v>
      </x:c>
      <x:c r="C15" s="38"/>
      <x:c r="D15" s="38"/>
    </x:row>
    <x:row r="16">
      <x:c r="A16" t="str">
        <x:v>Average ΔF</x:v>
      </x:c>
      <x:c r="B16" s="38" t="n">
        <x:f>AVERAGE(D4:D11)</x:f>
        <x:v>1620.25</x:v>
      </x:c>
      <x:c r="C16" s="38"/>
      <x:c r="D16" s="38"/>
    </x:row>
    <x:row r="17">
      <x:c r="A17" t="str">
        <x:v>Observed ΔF range</x:v>
      </x:c>
      <x:c r="B17" t="str">
        <x:f>TEXT(MIN(D4:D11),"$#,##0")&amp;" – "&amp;TEXT(MAX(D4:D11),"$#,##0")</x:f>
        <x:v>$940 – $2,515</x:v>
      </x:c>
    </x:row>
    <x:row r="19">
      <x:c r="A19" s="34" t="str">
        <x:v>Core source: https://www.drewry.co.uk/supply-chain-advisors/supply-chain-expertise/world-container-index-assessed-by-drewry</x:v>
      </x:c>
      <x:c r="B19" s="34"/>
      <x:c r="C19" s="34"/>
      <x:c r="D19" s="34"/>
      <x:c r="E19" s="34"/>
      <x:c r="F19" s="34"/>
    </x:row>
  </x:sheetData>
  <x:mergeCells>
    <x:mergeCell ref="A1:F1"/>
    <x:mergeCell ref="A19:F19"/>
  </x:mergeCells>
  <x:pageMargins left="0.7" right="0.7" top="0.75" bottom="0.75" header="0.3" footer="0.3"/>
  <x:tableParts count="1">
    <x:tablePart xmlns:r="http://schemas.openxmlformats.org/officeDocument/2006/relationships" r:id="Rf42c00bd85ed405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24" hidden="0" customWidth="1"/>
    <x:col min="5" max="5" width="38" hidden="0" customWidth="1"/>
    <x:col min="6" max="6" width="22" hidden="0" customWidth="1"/>
  </x:cols>
  <x:sheetData>
    <x:row r="1">
      <x:c r="A1" s="17" t="str">
        <x:v>Ocean Transit Time Evidence</x:v>
      </x:c>
      <x:c r="B1" s="17"/>
      <x:c r="C1" s="17"/>
      <x:c r="D1" s="17"/>
      <x:c r="E1" s="17"/>
      <x:c r="F1" s="17"/>
    </x:row>
    <x:row r="3">
      <x:c r="A3" s="28" t="str">
        <x:v>Leg</x:v>
      </x:c>
      <x:c r="B3" s="28" t="str">
        <x:v>Transit time</x:v>
      </x:c>
      <x:c r="C3" s="28" t="str">
        <x:v>Type</x:v>
      </x:c>
      <x:c r="D3" s="28" t="str">
        <x:v>Source quality</x:v>
      </x:c>
      <x:c r="E3" s="28" t="str">
        <x:v>Source / literature</x:v>
      </x:c>
      <x:c r="F3" s="28" t="str">
        <x:v>Use</x:v>
      </x:c>
    </x:row>
    <x:row r="4">
      <x:c r="A4" s="34" t="str">
        <x:v>Shanghai → Los Angeles</x:v>
      </x:c>
      <x:c r="B4" s="34" t="str">
        <x:v>13.9–14.0 d</x:v>
      </x:c>
      <x:c r="C4" s="34" t="str">
        <x:v>2026 average</x:v>
      </x:c>
      <x:c r="D4" s="34" t="str">
        <x:v>Commercial / forwarder</x:v>
      </x:c>
      <x:c r="E4" s="34" t="str">
        <x:v>FreightAmigo 2026</x:v>
      </x:c>
      <x:c r="F4" s="34" t="str">
        <x:v>Calibration only</x:v>
      </x:c>
    </x:row>
    <x:row r="5">
      <x:c r="A5" s="34" t="str">
        <x:v>Shanghai → Los Angeles</x:v>
      </x:c>
      <x:c r="B5" s="34" t="str">
        <x:v>14–18 d</x:v>
      </x:c>
      <x:c r="C5" s="34" t="str">
        <x:v>Direct service range</x:v>
      </x:c>
      <x:c r="D5" s="34" t="str">
        <x:v>Commercial / forwarder</x:v>
      </x:c>
      <x:c r="E5" s="34" t="str">
        <x:v>Suaid Global 2026</x:v>
      </x:c>
      <x:c r="F5" s="34" t="str">
        <x:v>Calibration range</x:v>
      </x:c>
    </x:row>
    <x:row r="6">
      <x:c r="A6" s="34" t="str">
        <x:v>Ningbo → Long Beach</x:v>
      </x:c>
      <x:c r="B6" s="34" t="str">
        <x:v>14–20 d</x:v>
      </x:c>
      <x:c r="C6" s="34" t="str">
        <x:v>Range</x:v>
      </x:c>
      <x:c r="D6" s="34" t="str">
        <x:v>Commercial / forwarder</x:v>
      </x:c>
      <x:c r="E6" s="34" t="str">
        <x:v>FreightAmigo 2026</x:v>
      </x:c>
      <x:c r="F6" s="34" t="str">
        <x:v>Calibration range</x:v>
      </x:c>
    </x:row>
    <x:row r="7">
      <x:c r="A7" s="34" t="str">
        <x:v>China → USWC (LA/LB)</x:v>
      </x:c>
      <x:c r="B7" s="34" t="str">
        <x:v>14–21 d</x:v>
      </x:c>
      <x:c r="C7" s="34" t="str">
        <x:v>FCL range</x:v>
      </x:c>
      <x:c r="D7" s="34" t="str">
        <x:v>Commercial / forwarder</x:v>
      </x:c>
      <x:c r="E7" s="34" t="str">
        <x:v>ExpressOcean 2026</x:v>
      </x:c>
      <x:c r="F7" s="34" t="str">
        <x:v>Context</x:v>
      </x:c>
    </x:row>
    <x:row r="8">
      <x:c r="A8" s="34" t="str">
        <x:v>China → USEC (NY/NJ) via Panama</x:v>
      </x:c>
      <x:c r="B8" s="34" t="str">
        <x:v>28–38 d</x:v>
      </x:c>
      <x:c r="C8" s="34" t="str">
        <x:v>FCL range</x:v>
      </x:c>
      <x:c r="D8" s="34" t="str">
        <x:v>Commercial / forwarder</x:v>
      </x:c>
      <x:c r="E8" s="34" t="str">
        <x:v>ExpressOcean 2026</x:v>
      </x:c>
      <x:c r="F8" s="34" t="str">
        <x:v>Context</x:v>
      </x:c>
    </x:row>
    <x:row r="9">
      <x:c r="A9" s="34" t="str">
        <x:v>Shanghai → New York</x:v>
      </x:c>
      <x:c r="B9" s="34" t="str">
        <x:v>25–32 d</x:v>
      </x:c>
      <x:c r="C9" s="34" t="str">
        <x:v>Direct range</x:v>
      </x:c>
      <x:c r="D9" s="34" t="str">
        <x:v>Commercial / forwarder</x:v>
      </x:c>
      <x:c r="E9" s="34" t="str">
        <x:v>Suaid Global 2026</x:v>
      </x:c>
      <x:c r="F9" s="34" t="str">
        <x:v>Calibration range</x:v>
      </x:c>
    </x:row>
    <x:row r="10">
      <x:c r="A10" s="34" t="str">
        <x:v>Landbridge vs all-water to New York</x:v>
      </x:c>
      <x:c r="B10" s="34" t="str">
        <x:v>≈ 7 d difference</x:v>
      </x:c>
      <x:c r="C10" s="34" t="str">
        <x:v>Literature result</x:v>
      </x:c>
      <x:c r="D10" s="34" t="str">
        <x:v>Academic</x:v>
      </x:c>
      <x:c r="E10" s="34" t="str">
        <x:v>Rodrigue / port hinterland literature</x:v>
      </x:c>
      <x:c r="F10" s="34" t="str">
        <x:v>RQ1 context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df595c7db5c4fe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7" t="str">
        <x:v>Panama Canal Operational Restriction Data</x:v>
      </x:c>
      <x:c r="B1" s="17"/>
      <x:c r="C1" s="17"/>
      <x:c r="D1" s="17"/>
      <x:c r="E1" s="17"/>
      <x:c r="F1" s="17"/>
    </x:row>
    <x:row r="3">
      <x:c r="A3" s="28" t="str">
        <x:v>Effective date</x:v>
      </x:c>
      <x:c r="B3" s="28" t="str">
        <x:v>Neopanamax slots/day</x:v>
      </x:c>
      <x:c r="C3" s="28" t="str">
        <x:v>Panamax slots/day</x:v>
      </x:c>
      <x:c r="D3" s="28" t="str">
        <x:v>Total slots/day</x:v>
      </x:c>
    </x:row>
    <x:row r="4">
      <x:c r="A4" t="str">
        <x:v>Normal / design</x:v>
      </x:c>
      <x:c r="B4" t="n">
        <x:v>10</x:v>
      </x:c>
      <x:c r="C4" t="n">
        <x:v>26</x:v>
      </x:c>
      <x:c r="D4" t="n">
        <x:v>36</x:v>
      </x:c>
    </x:row>
    <x:row r="5">
      <x:c r="A5" t="str">
        <x:v>From 4 Sep 2026</x:v>
      </x:c>
      <x:c r="B5" t="n">
        <x:v>9</x:v>
      </x:c>
      <x:c r="C5" t="n">
        <x:v>25</x:v>
      </x:c>
      <x:c r="D5" t="n">
        <x:v>34</x:v>
      </x:c>
    </x:row>
    <x:row r="6">
      <x:c r="A6" t="str">
        <x:v>From 15 Sep 2026</x:v>
      </x:c>
      <x:c r="B6" t="n">
        <x:v>9</x:v>
      </x:c>
      <x:c r="C6" t="n">
        <x:v>23</x:v>
      </x:c>
      <x:c r="D6" t="n">
        <x:v>32</x:v>
      </x:c>
    </x:row>
    <x:row r="9">
      <x:c r="A9" s="28" t="str">
        <x:v>Scenario</x:v>
      </x:c>
      <x:c r="B9" s="28" t="str">
        <x:v>α_Panama</x:v>
      </x:c>
      <x:c r="C9" s="28" t="str">
        <x:v>Basis</x:v>
      </x:c>
    </x:row>
    <x:row r="10">
      <x:c r="A10" t="str">
        <x:v>Normal</x:v>
      </x:c>
      <x:c r="B10" s="22" t="n">
        <x:v>1</x:v>
      </x:c>
      <x:c r="C10" t="str">
        <x:v>Pre-restriction baseline</x:v>
      </x:c>
    </x:row>
    <x:row r="11">
      <x:c r="A11" t="str">
        <x:v>Restricted</x:v>
      </x:c>
      <x:c r="B11" s="22" t="n">
        <x:v>0.9</x:v>
      </x:c>
      <x:c r="C11" t="str">
        <x:v>Official 2026 slot restrictions: 32/36≈0.889 and 9/10=0.90</x:v>
      </x:c>
    </x:row>
    <x:row r="12">
      <x:c r="A12" t="str">
        <x:v>Stress</x:v>
      </x:c>
      <x:c r="B12" s="22" t="n">
        <x:v>0.8</x:v>
      </x:c>
      <x:c r="C12" t="str">
        <x:v>Hypothetical extension; stress test only</x:v>
      </x:c>
    </x:row>
    <x:row r="15">
      <x:c r="A15" s="28" t="str">
        <x:v>Date</x:v>
      </x:c>
      <x:c r="B15" s="28" t="str">
        <x:v>Max authorised draft</x:v>
      </x:c>
      <x:c r="C15" s="28" t="str">
        <x:v>Status</x:v>
      </x:c>
    </x:row>
    <x:row r="16">
      <x:c r="A16" t="str">
        <x:v>Design maximum</x:v>
      </x:c>
      <x:c r="B16" t="str">
        <x:v>15.24 m / 50.0 ft</x:v>
      </x:c>
      <x:c r="C16" t="str">
        <x:v>—</x:v>
      </x:c>
    </x:row>
    <x:row r="17">
      <x:c r="A17" t="str">
        <x:v>3 Jul 2026</x:v>
      </x:c>
      <x:c r="B17" t="str">
        <x:v>15.09 m / 49.5 ft</x:v>
      </x:c>
      <x:c r="C17" t="str">
        <x:v>in force</x:v>
      </x:c>
    </x:row>
    <x:row r="18">
      <x:c r="A18" t="str">
        <x:v>24 Jul 2026</x:v>
      </x:c>
      <x:c r="B18" t="str">
        <x:v>14.94 m / 49.0 ft</x:v>
      </x:c>
      <x:c r="C18" t="str">
        <x:v>in force</x:v>
      </x:c>
    </x:row>
    <x:row r="19">
      <x:c r="A19" t="str">
        <x:v>15 Aug 2026</x:v>
      </x:c>
      <x:c r="B19" t="str">
        <x:v>14.78 m / 48.5 ft</x:v>
      </x:c>
      <x:c r="C19" t="str">
        <x:v>in force</x:v>
      </x:c>
    </x:row>
    <x:row r="20">
      <x:c r="A20" t="str">
        <x:v>2 Sep 2026</x:v>
      </x:c>
      <x:c r="B20" t="str">
        <x:v>14.63 m / 48.0 ft</x:v>
      </x:c>
      <x:c r="C20" t="str">
        <x:v>postponed from 26 Aug</x:v>
      </x:c>
    </x:row>
    <x:row r="21">
      <x:c r="A21" t="str">
        <x:v>1 Oct 2026</x:v>
      </x:c>
      <x:c r="B21" t="str">
        <x:v>14.48 m / 47.5 ft</x:v>
      </x:c>
      <x:c r="C21" t="str">
        <x:v>postponed from 3 Sep</x:v>
      </x:c>
    </x:row>
    <x:row r="24">
      <x:c r="A24" s="34" t="str">
        <x:v>Primary source: Panama Canal Authority (ACP), 2026 advisories — https://pancanal.com/en/</x:v>
      </x:c>
      <x:c r="B24" s="34"/>
      <x:c r="C24" s="34"/>
      <x:c r="D24" s="34"/>
      <x:c r="E24" s="34"/>
      <x:c r="F24" s="34"/>
    </x:row>
  </x:sheetData>
  <x:mergeCells>
    <x:mergeCell ref="A1:F1"/>
    <x:mergeCell ref="A24:F2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6" hidden="0" customWidth="1"/>
    <x:col min="4" max="4" width="34" hidden="0" customWidth="1"/>
    <x:col min="5" max="5" width="22" hidden="0" customWidth="1"/>
    <x:col min="6" max="6" width="34" hidden="0" customWidth="1"/>
    <x:col min="7" max="7" width="28" hidden="0" customWidth="1"/>
  </x:cols>
  <x:sheetData>
    <x:row r="1">
      <x:c r="A1" s="17" t="str">
        <x:v>US Inland Rail and Road Evidence</x:v>
      </x:c>
      <x:c r="B1" s="17"/>
      <x:c r="C1" s="17"/>
      <x:c r="D1" s="17"/>
      <x:c r="E1" s="17"/>
      <x:c r="F1" s="17"/>
      <x:c r="G1" s="17"/>
    </x:row>
    <x:row r="3">
      <x:c r="A3" s="28" t="str">
        <x:v>Leg / metric</x:v>
      </x:c>
      <x:c r="B3" s="28" t="str">
        <x:v>Value</x:v>
      </x:c>
      <x:c r="C3" s="28" t="str">
        <x:v>Unit</x:v>
      </x:c>
      <x:c r="D3" s="28" t="str">
        <x:v>Service / basis</x:v>
      </x:c>
      <x:c r="E3" s="28" t="str">
        <x:v>Source quality</x:v>
      </x:c>
      <x:c r="F3" s="28" t="str">
        <x:v>Source</x:v>
      </x:c>
      <x:c r="G3" s="28" t="str">
        <x:v>Model use</x:v>
      </x:c>
    </x:row>
    <x:row r="4">
      <x:c r="A4" s="34" t="str">
        <x:v>LA / Inland Empire → Chicago</x:v>
      </x:c>
      <x:c r="B4" s="34" t="n">
        <x:v>3</x:v>
      </x:c>
      <x:c r="C4" s="34" t="str">
        <x:v>days</x:v>
      </x:c>
      <x:c r="D4" s="34" t="str">
        <x:v>UP premium intermodal; 5 days/week</x:v>
      </x:c>
      <x:c r="E4" s="34" t="str">
        <x:v>Official carrier</x:v>
      </x:c>
      <x:c r="F4" s="34" t="str">
        <x:v>https://www.up.com/announcements/intermodal/</x:v>
      </x:c>
      <x:c r="G4" s="34" t="str">
        <x:v>Rail transit/time-table anchor</x:v>
      </x:c>
    </x:row>
    <x:row r="5">
      <x:c r="A5" s="34" t="str">
        <x:v>Seattle → Chicago</x:v>
      </x:c>
      <x:c r="B5" s="34" t="str">
        <x:v>5–6</x:v>
      </x:c>
      <x:c r="C5" s="34" t="str">
        <x:v>days</x:v>
      </x:c>
      <x:c r="D5" s="34" t="str">
        <x:v>Intermodal estimate</x:v>
      </x:c>
      <x:c r="E5" s="34" t="str">
        <x:v>Commercial</x:v>
      </x:c>
      <x:c r="F5" s="34" t="str">
        <x:v>STB Freight</x:v>
      </x:c>
      <x:c r="G5" s="34" t="str">
        <x:v>Calibration</x:v>
      </x:c>
    </x:row>
    <x:row r="6">
      <x:c r="A6" s="34" t="str">
        <x:v>Chicago → Atlanta</x:v>
      </x:c>
      <x:c r="B6" s="34" t="str">
        <x:v>3–4</x:v>
      </x:c>
      <x:c r="C6" s="34" t="str">
        <x:v>days</x:v>
      </x:c>
      <x:c r="D6" s="34" t="str">
        <x:v>Intermodal estimate</x:v>
      </x:c>
      <x:c r="E6" s="34" t="str">
        <x:v>Commercial</x:v>
      </x:c>
      <x:c r="F6" s="34" t="str">
        <x:v>STB Freight</x:v>
      </x:c>
      <x:c r="G6" s="34" t="str">
        <x:v>Calibration</x:v>
      </x:c>
    </x:row>
    <x:row r="7">
      <x:c r="A7" s="34" t="str">
        <x:v>LA ↔ Chicago intermodal cost</x:v>
      </x:c>
      <x:c r="B7" s="34" t="str">
        <x:v>1,800–2,400</x:v>
      </x:c>
      <x:c r="C7" s="34" t="str">
        <x:v>USD/load</x:v>
      </x:c>
      <x:c r="D7" s="34" t="str">
        <x:v>Domestic 53ft public benchmark</x:v>
      </x:c>
      <x:c r="E7" s="34" t="str">
        <x:v>Commercial</x:v>
      </x:c>
      <x:c r="F7" s="34" t="str">
        <x:v>STB Freight / ShipperGuide</x:v>
      </x:c>
      <x:c r="G7" s="34" t="str">
        <x:v>Rail-cost range</x:v>
      </x:c>
    </x:row>
    <x:row r="8">
      <x:c r="A8" s="34" t="str">
        <x:v>LA ↔ Chicago baseline cost</x:v>
      </x:c>
      <x:c r="B8" s="34" t="n">
        <x:v>2100</x:v>
      </x:c>
      <x:c r="C8" s="34" t="str">
        <x:v>USD/load</x:v>
      </x:c>
      <x:c r="D8" s="34" t="str">
        <x:v>Midpoint / representative average</x:v>
      </x:c>
      <x:c r="E8" s="34" t="str">
        <x:v>Derived baseline</x:v>
      </x:c>
      <x:c r="F8" s="34" t="str">
        <x:v>Based on public range</x:v>
      </x:c>
      <x:c r="G8" s="34" t="str">
        <x:v>Rail-cost input</x:v>
      </x:c>
    </x:row>
    <x:row r="9">
      <x:c r="A9" s="34" t="str">
        <x:v>Spot intermodal rate</x:v>
      </x:c>
      <x:c r="B9" s="34" t="n">
        <x:v>1.39</x:v>
      </x:c>
      <x:c r="C9" s="34" t="str">
        <x:v>USD/mile</x:v>
      </x:c>
      <x:c r="D9" s="34" t="str">
        <x:v>2026 market estimate</x:v>
      </x:c>
      <x:c r="E9" s="34" t="str">
        <x:v>Commercial</x:v>
      </x:c>
      <x:c r="F9" s="34" t="str">
        <x:v>STB Freight</x:v>
      </x:c>
      <x:c r="G9" s="34" t="str">
        <x:v>Alternative rail calibration</x:v>
      </x:c>
    </x:row>
    <x:row r="10">
      <x:c r="A10" s="34" t="str">
        <x:v>US dry van all-in spot</x:v>
      </x:c>
      <x:c r="B10" s="34" t="n">
        <x:v>2.93</x:v>
      </x:c>
      <x:c r="C10" s="34" t="str">
        <x:v>USD/mile</x:v>
      </x:c>
      <x:c r="D10" s="34" t="str">
        <x:v>Incl. fuel surcharge</x:v>
      </x:c>
      <x:c r="E10" s="34" t="str">
        <x:v>Commercial benchmark</x:v>
      </x:c>
      <x:c r="F10" s="34" t="str">
        <x:v>https://www.dat.com/blog/</x:v>
      </x:c>
      <x:c r="G10" s="34" t="str">
        <x:v>Road cost input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ed2f35856944ba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2" hidden="0" customWidth="1"/>
    <x:col min="4" max="4" width="24" hidden="0" customWidth="1"/>
    <x:col min="5" max="5" width="30" hidden="0" customWidth="1"/>
    <x:col min="6" max="6" width="24" hidden="0" customWidth="1"/>
  </x:cols>
  <x:sheetData>
    <x:row r="1">
      <x:c r="A1" s="17" t="str">
        <x:v>Gateway and Inland Destination Screening</x:v>
      </x:c>
      <x:c r="B1" s="17"/>
      <x:c r="C1" s="17"/>
      <x:c r="D1" s="17"/>
      <x:c r="E1" s="17"/>
      <x:c r="F1" s="17"/>
    </x:row>
    <x:row r="3">
      <x:c r="A3" s="28" t="str">
        <x:v>Gateway</x:v>
      </x:c>
      <x:c r="B3" s="28" t="str">
        <x:v>Coast</x:v>
      </x:c>
      <x:c r="C3" s="28" t="str">
        <x:v>2025 throughput</x:v>
      </x:c>
      <x:c r="D3" s="28" t="str">
        <x:v>Source</x:v>
      </x:c>
      <x:c r="E3" s="28" t="str">
        <x:v>Note</x:v>
      </x:c>
    </x:row>
    <x:row r="4">
      <x:c r="A4" s="34" t="str">
        <x:v>Los Angeles</x:v>
      </x:c>
      <x:c r="B4" s="34" t="str">
        <x:v>West</x:v>
      </x:c>
      <x:c r="C4" s="34" t="str">
        <x:v>&gt;10.0M TEU total; 6.7M loaded</x:v>
      </x:c>
      <x:c r="D4" s="34" t="str">
        <x:v>Port of LA official</x:v>
      </x:c>
      <x:c r="E4" s="34" t="str">
        <x:v>Major USWC gateway</x:v>
      </x:c>
      <x:c r="F4" s="34"/>
    </x:row>
    <x:row r="5">
      <x:c r="A5" s="34" t="str">
        <x:v>Long Beach</x:v>
      </x:c>
      <x:c r="B5" s="34" t="str">
        <x:v>West</x:v>
      </x:c>
      <x:c r="C5" s="34" t="str">
        <x:v>~9.0–9.6M TEU</x:v>
      </x:c>
      <x:c r="D5" s="34" t="str">
        <x:v>Port statistics</x:v>
      </x:c>
      <x:c r="E5" s="34" t="str">
        <x:v>Pair with LA/LB</x:v>
      </x:c>
      <x:c r="F5" s="34"/>
    </x:row>
    <x:row r="6">
      <x:c r="A6" s="34" t="str">
        <x:v>NY/NJ</x:v>
      </x:c>
      <x:c r="B6" s="34" t="str">
        <x:v>East</x:v>
      </x:c>
      <x:c r="C6" s="34" t="str">
        <x:v>~8.9M TEU</x:v>
      </x:c>
      <x:c r="D6" s="34" t="str">
        <x:v>PANYNJ / KBC</x:v>
      </x:c>
      <x:c r="E6" s="34" t="str">
        <x:v>Largest East Coast gateway</x:v>
      </x:c>
      <x:c r="F6" s="34"/>
    </x:row>
    <x:row r="7">
      <x:c r="A7" s="34" t="str">
        <x:v>Seattle/Tacoma (NWSA)</x:v>
      </x:c>
      <x:c r="B7" s="34" t="str">
        <x:v>West</x:v>
      </x:c>
      <x:c r="C7" s="34" t="str">
        <x:v>2.92M TEU YTD Nov 2025</x:v>
      </x:c>
      <x:c r="D7" s="34" t="str">
        <x:v>PMSA</x:v>
      </x:c>
      <x:c r="E7" s="34" t="str">
        <x:v>Secondary WC gateway</x:v>
      </x:c>
      <x:c r="F7" s="34"/>
    </x:row>
    <x:row r="8">
      <x:c r="A8" s="34"/>
      <x:c r="B8" s="34"/>
      <x:c r="C8" s="34"/>
      <x:c r="D8" s="34"/>
      <x:c r="E8" s="34"/>
      <x:c r="F8" s="34"/>
    </x:row>
    <x:row r="9">
      <x:c r="A9" s="34"/>
      <x:c r="B9" s="34"/>
      <x:c r="C9" s="34"/>
      <x:c r="D9" s="34"/>
      <x:c r="E9" s="34"/>
      <x:c r="F9" s="34"/>
    </x:row>
    <x:row r="10">
      <x:c r="A10" s="28" t="str">
        <x:v>Role</x:v>
      </x:c>
      <x:c r="B10" s="28" t="str">
        <x:v>City</x:v>
      </x:c>
      <x:c r="C10" s="28" t="str">
        <x:v>Evidence</x:v>
      </x:c>
      <x:c r="D10" s="28" t="str">
        <x:v>Dual-coast service</x:v>
      </x:c>
      <x:c r="E10" s="28" t="str">
        <x:v>Data availability</x:v>
      </x:c>
      <x:c r="F10" s="28" t="str">
        <x:v>Current status</x:v>
      </x:c>
    </x:row>
    <x:row r="11">
      <x:c r="A11" s="34" t="str">
        <x:v>D1</x:v>
      </x:c>
      <x:c r="B11" s="34" t="str">
        <x:v>Chicago, IL</x:v>
      </x:c>
      <x:c r="C11" s="34" t="str">
        <x:v>Largest inland intermodal market</x:v>
      </x:c>
      <x:c r="D11" s="34" t="str">
        <x:v>Confirmed</x:v>
      </x:c>
      <x:c r="E11" s="34" t="str">
        <x:v>Best</x:v>
      </x:c>
      <x:c r="F11" s="34" t="str">
        <x:v>Preferred</x:v>
      </x:c>
    </x:row>
    <x:row r="12">
      <x:c r="A12" s="34" t="str">
        <x:v>D2</x:v>
      </x:c>
      <x:c r="B12" s="34" t="str">
        <x:v>Memphis, TN</x:v>
      </x:c>
      <x:c r="C12" s="34" t="str">
        <x:v>Contested-zone candidate</x:v>
      </x:c>
      <x:c r="D12" s="34" t="str">
        <x:v>Confirmed</x:v>
      </x:c>
      <x:c r="E12" s="34" t="str">
        <x:v>Good</x:v>
      </x:c>
      <x:c r="F12" s="34" t="str">
        <x:v>Preferred</x:v>
      </x:c>
    </x:row>
    <x:row r="13">
      <x:c r="A13" s="34" t="str">
        <x:v>D3</x:v>
      </x:c>
      <x:c r="B13" s="34" t="str">
        <x:v>Columbus, OH</x:v>
      </x:c>
      <x:c r="C13" s="34" t="str">
        <x:v>Eastern inland candidate</x:v>
      </x:c>
      <x:c r="D13" s="34" t="str">
        <x:v>Confirmed</x:v>
      </x:c>
      <x:c r="E13" s="34" t="str">
        <x:v>Adequate</x:v>
      </x:c>
      <x:c r="F13" s="34" t="str">
        <x:v>Preferred</x:v>
      </x:c>
    </x:row>
    <x:row r="14">
      <x:c r="A14" s="34" t="str">
        <x:v>Fallback</x:v>
      </x:c>
      <x:c r="B14" s="34" t="str">
        <x:v>Dallas / Fort Worth, TX</x:v>
      </x:c>
      <x:c r="C14" s="34" t="str">
        <x:v>Large inland market</x:v>
      </x:c>
      <x:c r="D14" s="34" t="str">
        <x:v>Confirmed</x:v>
      </x:c>
      <x:c r="E14" s="34" t="str">
        <x:v>Moderate</x:v>
      </x:c>
      <x:c r="F14" s="34" t="str">
        <x:v>Alternative for D2</x:v>
      </x:c>
    </x:row>
    <x:row r="15">
      <x:c r="A15" s="34" t="str">
        <x:v>Fallback</x:v>
      </x:c>
      <x:c r="B15" s="34" t="str">
        <x:v>Atlanta, GA</x:v>
      </x:c>
      <x:c r="C15" s="34" t="str">
        <x:v>Large eastern market</x:v>
      </x:c>
      <x:c r="D15" s="34" t="str">
        <x:v>Confirmed</x:v>
      </x:c>
      <x:c r="E15" s="34" t="str">
        <x:v>Good but Savannah becomes relevant</x:v>
      </x:c>
      <x:c r="F15" s="34" t="str">
        <x:v>Alternative for D3</x:v>
      </x:c>
    </x:row>
    <x:row r="16">
      <x:c r="A16" s="34"/>
      <x:c r="B16" s="34"/>
      <x:c r="C16" s="34"/>
      <x:c r="D16" s="34"/>
      <x:c r="E16" s="34"/>
      <x:c r="F16" s="34"/>
    </x:row>
    <x:row r="17">
      <x:c r="A17" s="34"/>
      <x:c r="B17" s="34"/>
      <x:c r="C17" s="34"/>
      <x:c r="D17" s="34"/>
      <x:c r="E17" s="34"/>
      <x:c r="F17" s="34"/>
    </x:row>
    <x:row r="18">
      <x:c r="A18" s="34" t="str">
        <x:v>Dual-coast rail-service confirmation source: https://www.cma-cgm.com/assets/public/documents/INTERMODAL%20US%20RAIL_3.pdf</x:v>
      </x:c>
      <x:c r="B18" s="34"/>
      <x:c r="C18" s="34"/>
      <x:c r="D18" s="34"/>
      <x:c r="E18" s="34"/>
      <x:c r="F18" s="34"/>
    </x:row>
  </x:sheetData>
  <x:mergeCells>
    <x:mergeCell ref="A1:F1"/>
    <x:mergeCell ref="A18:F1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6" hidden="0" customWidth="1"/>
    <x:col min="3" max="3" width="18" hidden="0" customWidth="1"/>
    <x:col min="4" max="4" width="24" hidden="0" customWidth="1"/>
    <x:col min="5" max="5" width="32" hidden="0" customWidth="1"/>
    <x:col min="6" max="6" width="32" hidden="0" customWidth="1"/>
  </x:cols>
  <x:sheetData>
    <x:row r="1">
      <x:c r="A1" s="17" t="str">
        <x:v>Terminal Handling and China-Side Evidence</x:v>
      </x:c>
      <x:c r="B1" s="17"/>
      <x:c r="C1" s="17"/>
      <x:c r="D1" s="17"/>
      <x:c r="E1" s="17"/>
      <x:c r="F1" s="17"/>
    </x:row>
    <x:row r="3">
      <x:c r="A3" s="28" t="str">
        <x:v>Item</x:v>
      </x:c>
      <x:c r="B3" s="28" t="str">
        <x:v>Value / finding</x:v>
      </x:c>
      <x:c r="C3" s="28" t="str">
        <x:v>Unit</x:v>
      </x:c>
      <x:c r="D3" s="28" t="str">
        <x:v>Source quality</x:v>
      </x:c>
      <x:c r="E3" s="28" t="str">
        <x:v>Source</x:v>
      </x:c>
      <x:c r="F3" s="28" t="str">
        <x:v>Recommended use</x:v>
      </x:c>
    </x:row>
    <x:row r="4">
      <x:c r="A4" s="34" t="str">
        <x:v>Generic THC</x:v>
      </x:c>
      <x:c r="B4" s="34" t="str">
        <x:v>150–350</x:v>
      </x:c>
      <x:c r="C4" s="34" t="str">
        <x:v>USD/container</x:v>
      </x:c>
      <x:c r="D4" s="34" t="str">
        <x:v>Commercial range</x:v>
      </x:c>
      <x:c r="E4" s="34" t="str">
        <x:v>Compiled 2026 estimates</x:v>
      </x:c>
      <x:c r="F4" s="34" t="str">
        <x:v>Use 250 baseline</x:v>
      </x:c>
    </x:row>
    <x:row r="5">
      <x:c r="A5" s="34" t="str">
        <x:v>Terminal handling baseline</x:v>
      </x:c>
      <x:c r="B5" s="34" t="n">
        <x:v>250</x:v>
      </x:c>
      <x:c r="C5" s="34" t="str">
        <x:v>USD/container</x:v>
      </x:c>
      <x:c r="D5" s="34" t="str">
        <x:v>Derived baseline</x:v>
      </x:c>
      <x:c r="E5" s="34" t="str">
        <x:v>Midpoint of range</x:v>
      </x:c>
      <x:c r="F5" s="34" t="str">
        <x:v>Fixed handling input</x:v>
      </x:c>
    </x:row>
    <x:row r="6">
      <x:c r="A6" s="34" t="str">
        <x:v>Drayage</x:v>
      </x:c>
      <x:c r="B6" s="34" t="str">
        <x:v>400–1,200</x:v>
      </x:c>
      <x:c r="C6" s="34" t="str">
        <x:v>USD</x:v>
      </x:c>
      <x:c r="D6" s="34" t="str">
        <x:v>Commercial range</x:v>
      </x:c>
      <x:c r="E6" s="34" t="str">
        <x:v>Compiled 2026 estimates</x:v>
      </x:c>
      <x:c r="F6" s="34" t="str">
        <x:v>Only if explicit drayage arc is modelled</x:v>
      </x:c>
    </x:row>
    <x:row r="7">
      <x:c r="A7" s="34" t="str">
        <x:v>Demurrage</x:v>
      </x:c>
      <x:c r="B7" s="34" t="str">
        <x:v>150–350/day after 3–5 free days</x:v>
      </x:c>
      <x:c r="C7" s="34" t="str">
        <x:v>USD/day</x:v>
      </x:c>
      <x:c r="D7" s="34" t="str">
        <x:v>Commercial range</x:v>
      </x:c>
      <x:c r="E7" s="34" t="str">
        <x:v>Compiled 2026 estimates</x:v>
      </x:c>
      <x:c r="F7" s="34" t="str">
        <x:v>Do not include unless modelled explicitly</x:v>
      </x:c>
    </x:row>
    <x:row r="8">
      <x:c r="A8" s="34" t="str">
        <x:v>Xi'an International Port Station</x:v>
      </x:c>
      <x:c r="B8" s="34" t="str">
        <x:v>59 domestic working lines; 18 international container arrival/departure lines; 690,000 m² yard</x:v>
      </x:c>
      <x:c r="C8" s="34" t="str"/>
      <x:c r="D8" s="34" t="str">
        <x:v>Official / media</x:v>
      </x:c>
      <x:c r="E8" s="34" t="str">
        <x:v>China Railway / People's Daily</x:v>
      </x:c>
      <x:c r="F8" s="34" t="str">
        <x:v>Network justification</x:v>
      </x:c>
    </x:row>
    <x:row r="9">
      <x:c r="A9" s="34" t="str">
        <x:v>Xi'an → Ningbo / Qingdao sea-rail</x:v>
      </x:c>
      <x:c r="B9" s="34" t="str">
        <x:v>Regular scheduled operation</x:v>
      </x:c>
      <x:c r="C9" s="34" t="str"/>
      <x:c r="D9" s="34" t="str">
        <x:v>Official regional source</x:v>
      </x:c>
      <x:c r="E9" s="34" t="str">
        <x:v>Shaanxi DRC</x:v>
      </x:c>
      <x:c r="F9" s="34" t="str">
        <x:v>Justifies scheduled China leg</x:v>
      </x:c>
    </x:row>
    <x:row r="10">
      <x:c r="A10" s="34" t="str">
        <x:v>National sea-rail policy</x:v>
      </x:c>
      <x:c r="B10" s="34" t="str">
        <x:v>Fixed train paths and coordinated vessel schedules targeted by 2027</x:v>
      </x:c>
      <x:c r="C10" s="34" t="str"/>
      <x:c r="D10" s="34" t="str">
        <x:v>Official policy</x:v>
      </x:c>
      <x:c r="E10" s="34" t="str">
        <x:v>gov.cn, 交水发〔2025〕91号</x:v>
      </x:c>
      <x:c r="F10" s="34" t="str">
        <x:v>Timetable justification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36e5b8f01d84bb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56" hidden="0" customWidth="1"/>
    <x:col min="4" max="4" width="12" hidden="0" customWidth="1"/>
  </x:cols>
  <x:sheetData>
    <x:row r="1">
      <x:c r="A1" s="17" t="str">
        <x:v>Remaining Data Gaps and Agreed Workarounds</x:v>
      </x:c>
      <x:c r="B1" s="17"/>
      <x:c r="C1" s="17"/>
      <x:c r="D1" s="17"/>
    </x:row>
    <x:row r="3">
      <x:c r="A3" s="28" t="str">
        <x:v>Gap</x:v>
      </x:c>
      <x:c r="B3" s="28" t="str">
        <x:v>Why it matters</x:v>
      </x:c>
      <x:c r="C3" s="28" t="str">
        <x:v>Agreed workaround</x:v>
      </x:c>
      <x:c r="D3" s="28" t="str">
        <x:v>Priority</x:v>
      </x:c>
    </x:row>
    <x:row r="4">
      <x:c r="A4" s="34" t="str">
        <x:v>Carrier IPI / through-rate breakdowns</x:v>
      </x:c>
      <x:c r="B4" s="34" t="str">
        <x:v>Exact 40ft marine-box gateway-to-inland rail price is not public</x:v>
      </x:c>
      <x:c r="C4" s="34" t="str">
        <x:v>Use recent public domestic intermodal benchmarks / per-mile calibration; report as assumption</x:v>
      </x:c>
      <x:c r="D4" s="34" t="str">
        <x:v>High</x:v>
      </x:c>
    </x:row>
    <x:row r="5">
      <x:c r="A5" s="34" t="str">
        <x:v>Per-service rail schedules / frequency</x:v>
      </x:c>
      <x:c r="B5" s="34" t="str">
        <x:v>Needed for schedule waiting</x:v>
      </x:c>
      <x:c r="C5" s="34" t="str">
        <x:v>Use official anchors where published (e.g., UP 5×/week) and documented schedule tools</x:v>
      </x:c>
      <x:c r="D5" s="34" t="str">
        <x:v>High</x:v>
      </x:c>
    </x:row>
    <x:row r="6">
      <x:c r="A6" s="34" t="str">
        <x:v>Vessel-level sailing schedules</x:v>
      </x:c>
      <x:c r="B6" s="34" t="str">
        <x:v>Needed for departure timetable</x:v>
      </x:c>
      <x:c r="C6" s="34" t="str">
        <x:v>Collect named carrier services manually; weekly service structure is public</x:v>
      </x:c>
      <x:c r="D6" s="34" t="str">
        <x:v>High</x:v>
      </x:c>
    </x:row>
    <x:row r="7">
      <x:c r="A7" s="34" t="str">
        <x:v>Current PierPASS / terminal charges</x:v>
      </x:c>
      <x:c r="B7" s="34" t="str">
        <x:v>Minor cost detail</x:v>
      </x:c>
      <x:c r="C7" s="34" t="str">
        <x:v>Update only if used explicitly</x:v>
      </x:c>
      <x:c r="D7" s="34" t="str">
        <x:v>Low</x:v>
      </x:c>
    </x:row>
    <x:row r="8">
      <x:c r="A8" s="34" t="str">
        <x:v>Xi'an → port rail tariff</x:v>
      </x:c>
      <x:c r="B8" s="34" t="str">
        <x:v>China domestic cost input</x:v>
      </x:c>
      <x:c r="C8" s="34" t="str">
        <x:v>Use China Railway published freight tariff structure</x:v>
      </x:c>
      <x:c r="D8" s="34" t="str">
        <x:v>Medium</x:v>
      </x:c>
    </x:row>
    <x:row r="9">
      <x:c r="A9" s="34" t="str">
        <x:v>Panama-exposed service identification</x:v>
      </x:c>
      <x:c r="B9" s="34" t="str">
        <x:v>Needed for E5 classification</x:v>
      </x:c>
      <x:c r="C9" s="34" t="str">
        <x:v>Classify USEC carrier strings that explicitly route via Panama</x:v>
      </x:c>
      <x:c r="D9" s="34" t="str">
        <x:v>High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26d140b2f914aa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5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  <x:col min="8" max="8" width="22" hidden="0" customWidth="1"/>
    <x:col min="9" max="9" width="55" hidden="0" customWidth="1"/>
    <x:col min="10" max="10" width="48" hidden="0" customWidth="1"/>
  </x:cols>
  <x:sheetData>
    <x:row r="1">
      <x:c r="A1" s="46" t="str">
        <x:v>China–US Model Nodes</x:v>
      </x:c>
      <x:c r="B1" s="46"/>
      <x:c r="C1" s="46"/>
      <x:c r="D1" s="46"/>
      <x:c r="E1" s="46"/>
      <x:c r="F1" s="46"/>
      <x:c r="G1" s="46"/>
      <x:c r="H1" s="46"/>
      <x:c r="I1" s="46"/>
      <x:c r="J1" s="46"/>
    </x:row>
    <x:row r="3">
      <x:c r="A3" s="51" t="str">
        <x:v>EnglishName</x:v>
      </x:c>
      <x:c r="B3" s="51" t="str">
        <x:v>Region</x:v>
      </x:c>
      <x:c r="C3" s="51" t="str">
        <x:v>NodeCap_TEUh</x:v>
      </x:c>
      <x:c r="D3" s="51" t="str">
        <x:v>RegionGroup</x:v>
      </x:c>
      <x:c r="E3" s="51" t="str">
        <x:v>NodeCap_TEUday</x:v>
      </x:c>
      <x:c r="F3" s="51" t="str">
        <x:v>NodeType</x:v>
      </x:c>
      <x:c r="G3" s="51" t="str">
        <x:v>Country</x:v>
      </x:c>
      <x:c r="H3" s="51" t="str">
        <x:v>DataStatus</x:v>
      </x:c>
      <x:c r="I3" s="51" t="str">
        <x:v>Source_URL</x:v>
      </x:c>
      <x:c r="J3" s="51" t="str">
        <x:v>Notes</x:v>
      </x:c>
    </x:row>
    <x:row r="4">
      <x:c r="A4" s="34" t="str">
        <x:v>Xi'an</x:v>
      </x:c>
      <x:c r="B4" s="34" t="str">
        <x:v>CN</x:v>
      </x:c>
      <x:c r="C4" s="34" t="n">
        <x:v>250</x:v>
      </x:c>
      <x:c r="D4" s="34" t="str">
        <x:v>CN</x:v>
      </x:c>
      <x:c r="E4" s="34" t="n">
        <x:v>6000</x:v>
      </x:c>
      <x:c r="F4" s="34" t="str">
        <x:v>inland_terminal</x:v>
      </x:c>
      <x:c r="G4" s="34" t="str">
        <x:v>China</x:v>
      </x:c>
      <x:c r="H4" s="34" t="str">
        <x:v>Inherited assumption</x:v>
      </x:c>
      <x:c r="I4" s="34" t="str">
        <x:v>data_expanded(4).xlsx</x:v>
      </x:c>
      <x:c r="J4" s="34" t="str">
        <x:v>Capacity retained from existing model to avoid gateway bias</x:v>
      </x:c>
    </x:row>
    <x:row r="5">
      <x:c r="A5" s="34" t="str">
        <x:v>Shanghai</x:v>
      </x:c>
      <x:c r="B5" s="34" t="str">
        <x:v>CN</x:v>
      </x:c>
      <x:c r="C5" s="34" t="n">
        <x:v>250</x:v>
      </x:c>
      <x:c r="D5" s="34" t="str">
        <x:v>CN</x:v>
      </x:c>
      <x:c r="E5" s="34" t="n">
        <x:v>6000</x:v>
      </x:c>
      <x:c r="F5" s="34" t="str">
        <x:v>port</x:v>
      </x:c>
      <x:c r="G5" s="34" t="str">
        <x:v>China</x:v>
      </x:c>
      <x:c r="H5" s="34" t="str">
        <x:v>Inherited assumption</x:v>
      </x:c>
      <x:c r="I5" s="34" t="str">
        <x:v>data_expanded(4).xlsx</x:v>
      </x:c>
      <x:c r="J5" s="34" t="str">
        <x:v>Existing China-side node</x:v>
      </x:c>
    </x:row>
    <x:row r="6">
      <x:c r="A6" s="34" t="str">
        <x:v>Ningbo</x:v>
      </x:c>
      <x:c r="B6" s="34" t="str">
        <x:v>CN</x:v>
      </x:c>
      <x:c r="C6" s="34" t="n">
        <x:v>250</x:v>
      </x:c>
      <x:c r="D6" s="34" t="str">
        <x:v>CN</x:v>
      </x:c>
      <x:c r="E6" s="34" t="n">
        <x:v>6000</x:v>
      </x:c>
      <x:c r="F6" s="34" t="str">
        <x:v>port</x:v>
      </x:c>
      <x:c r="G6" s="34" t="str">
        <x:v>China</x:v>
      </x:c>
      <x:c r="H6" s="34" t="str">
        <x:v>Inherited assumption</x:v>
      </x:c>
      <x:c r="I6" s="34" t="str">
        <x:v>data_expanded(4).xlsx</x:v>
      </x:c>
      <x:c r="J6" s="34" t="str">
        <x:v>Existing China-side node</x:v>
      </x:c>
    </x:row>
    <x:row r="7">
      <x:c r="A7" s="34" t="str">
        <x:v>Los Angeles/Long Beach</x:v>
      </x:c>
      <x:c r="B7" s="34" t="str">
        <x:v>US</x:v>
      </x:c>
      <x:c r="C7" s="34" t="n">
        <x:v>250</x:v>
      </x:c>
      <x:c r="D7" s="34" t="str">
        <x:v>USWC</x:v>
      </x:c>
      <x:c r="E7" s="34" t="n">
        <x:v>6000</x:v>
      </x:c>
      <x:c r="F7" s="34" t="str">
        <x:v>port</x:v>
      </x:c>
      <x:c r="G7" s="34" t="str">
        <x:v>United States</x:v>
      </x:c>
      <x:c r="H7" s="34" t="str">
        <x:v>Model capacity</x:v>
      </x:c>
      <x:c r="I7" s="34" t="str">
        <x:v>https://portoflosangeles.org/business/statistics/facts-and-figures</x:v>
      </x:c>
      <x:c r="J7" s="34" t="str">
        <x:v>Uniform model capacity; not claimed as physical port capacity</x:v>
      </x:c>
    </x:row>
    <x:row r="8">
      <x:c r="A8" s="34" t="str">
        <x:v>Seattle/Tacoma</x:v>
      </x:c>
      <x:c r="B8" s="34" t="str">
        <x:v>US</x:v>
      </x:c>
      <x:c r="C8" s="34" t="n">
        <x:v>250</x:v>
      </x:c>
      <x:c r="D8" s="34" t="str">
        <x:v>USWC</x:v>
      </x:c>
      <x:c r="E8" s="34" t="n">
        <x:v>6000</x:v>
      </x:c>
      <x:c r="F8" s="34" t="str">
        <x:v>port</x:v>
      </x:c>
      <x:c r="G8" s="34" t="str">
        <x:v>United States</x:v>
      </x:c>
      <x:c r="H8" s="34" t="str">
        <x:v>Model capacity</x:v>
      </x:c>
      <x:c r="I8" s="34" t="str">
        <x:v>https://www.nwseaportalliance.com/</x:v>
      </x:c>
      <x:c r="J8" s="34" t="str">
        <x:v>Uniform model capacity; not claimed as physical port capacity</x:v>
      </x:c>
    </x:row>
    <x:row r="9">
      <x:c r="A9" s="34" t="str">
        <x:v>New York/New Jersey</x:v>
      </x:c>
      <x:c r="B9" s="34" t="str">
        <x:v>US</x:v>
      </x:c>
      <x:c r="C9" s="34" t="n">
        <x:v>250</x:v>
      </x:c>
      <x:c r="D9" s="34" t="str">
        <x:v>USEC</x:v>
      </x:c>
      <x:c r="E9" s="34" t="n">
        <x:v>6000</x:v>
      </x:c>
      <x:c r="F9" s="34" t="str">
        <x:v>port</x:v>
      </x:c>
      <x:c r="G9" s="34" t="str">
        <x:v>United States</x:v>
      </x:c>
      <x:c r="H9" s="34" t="str">
        <x:v>Model capacity</x:v>
      </x:c>
      <x:c r="I9" s="34" t="str">
        <x:v>https://www.panynj.gov/port/en/index.html</x:v>
      </x:c>
      <x:c r="J9" s="34" t="str">
        <x:v>Uniform model capacity; not claimed as physical port capacity</x:v>
      </x:c>
    </x:row>
    <x:row r="10">
      <x:c r="A10" s="34" t="str">
        <x:v>Chicago</x:v>
      </x:c>
      <x:c r="B10" s="34" t="str">
        <x:v>US</x:v>
      </x:c>
      <x:c r="C10" s="34" t="n">
        <x:v>250</x:v>
      </x:c>
      <x:c r="D10" s="34" t="str">
        <x:v>US_INLAND</x:v>
      </x:c>
      <x:c r="E10" s="34" t="n">
        <x:v>6000</x:v>
      </x:c>
      <x:c r="F10" s="34" t="str">
        <x:v>inland_terminal</x:v>
      </x:c>
      <x:c r="G10" s="34" t="str">
        <x:v>United States</x:v>
      </x:c>
      <x:c r="H10" s="34" t="str">
        <x:v>Model capacity</x:v>
      </x:c>
      <x:c r="I10" s="34" t="str">
        <x:v>https://www.bnsf.com/bnsf-resources/pdf/ship-with-bnsf/pricing-and-tools/intermodal_customer_reference_guide.pdf</x:v>
      </x:c>
      <x:c r="J10" s="34" t="str">
        <x:v>D1 representative inland destination</x:v>
      </x:c>
    </x:row>
    <x:row r="11">
      <x:c r="A11" s="34" t="str">
        <x:v>Memphis</x:v>
      </x:c>
      <x:c r="B11" s="34" t="str">
        <x:v>US</x:v>
      </x:c>
      <x:c r="C11" s="34" t="n">
        <x:v>250</x:v>
      </x:c>
      <x:c r="D11" s="34" t="str">
        <x:v>US_INLAND</x:v>
      </x:c>
      <x:c r="E11" s="34" t="n">
        <x:v>6000</x:v>
      </x:c>
      <x:c r="F11" s="34" t="str">
        <x:v>inland_terminal</x:v>
      </x:c>
      <x:c r="G11" s="34" t="str">
        <x:v>United States</x:v>
      </x:c>
      <x:c r="H11" s="34" t="str">
        <x:v>Model capacity</x:v>
      </x:c>
      <x:c r="I11" s="34" t="str">
        <x:v>https://www.bnsf.com/ship-with-bnsf/support-services/facility-listings.page?loc=memphis</x:v>
      </x:c>
      <x:c r="J11" s="34" t="str">
        <x:v>D2 representative inland destination</x:v>
      </x:c>
    </x:row>
    <x:row r="12">
      <x:c r="A12" s="34" t="str">
        <x:v>Columbus</x:v>
      </x:c>
      <x:c r="B12" s="34" t="str">
        <x:v>US</x:v>
      </x:c>
      <x:c r="C12" s="34" t="n">
        <x:v>250</x:v>
      </x:c>
      <x:c r="D12" s="34" t="str">
        <x:v>US_INLAND</x:v>
      </x:c>
      <x:c r="E12" s="34" t="n">
        <x:v>6000</x:v>
      </x:c>
      <x:c r="F12" s="34" t="str">
        <x:v>inland_terminal</x:v>
      </x:c>
      <x:c r="G12" s="34" t="str">
        <x:v>United States</x:v>
      </x:c>
      <x:c r="H12" s="34" t="str">
        <x:v>Model capacity</x:v>
      </x:c>
      <x:c r="I12" s="34" t="str">
        <x:v>https://www.bnsf.com/news-media/customer-notifications/notification.page?notId=faster-coast-to-coast-solutions-bnsf-and-csx-launch-new-intermodal-schedules-to-ohio-valley-and-northeast</x:v>
      </x:c>
      <x:c r="J12" s="34" t="str">
        <x:v>D3 representative inland destination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cea02447d5f41a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10" hidden="0" customWidth="1"/>
    <x:col min="5" max="5" width="14" hidden="0" customWidth="1"/>
    <x:col min="6" max="6" width="15" hidden="0" customWidth="1"/>
    <x:col min="7" max="7" width="12" hidden="0" customWidth="1"/>
    <x:col min="8" max="8" width="12" hidden="0" customWidth="1"/>
    <x:col min="9" max="9" width="16" hidden="0" customWidth="1"/>
    <x:col min="10" max="10" width="16" hidden="0" customWidth="1"/>
    <x:col min="11" max="11" width="12" hidden="0" customWidth="1"/>
    <x:col min="12" max="12" width="16" hidden="0" customWidth="1"/>
    <x:col min="13" max="13" width="15" hidden="0" customWidth="1"/>
    <x:col min="14" max="14" width="15" hidden="0" customWidth="1"/>
    <x:col min="15" max="15" width="14" hidden="0" customWidth="1"/>
    <x:col min="16" max="16" width="15" hidden="0" customWidth="1"/>
    <x:col min="17" max="17" width="20" hidden="0" customWidth="1"/>
    <x:col min="18" max="18" width="24" hidden="0" customWidth="1"/>
    <x:col min="19" max="19" width="58" hidden="0" customWidth="1"/>
    <x:col min="20" max="20" width="56" hidden="0" customWidth="1"/>
  </x:cols>
  <x:sheetData>
    <x:row r="1">
      <x:c r="A1" s="46" t="str">
        <x:v>China–US Model Arcs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</x:row>
    <x:row r="3">
      <x:c r="A3" s="51" t="str">
        <x:v>ArcID</x:v>
      </x:c>
      <x:c r="B3" s="51" t="str">
        <x:v>OriginEN</x:v>
      </x:c>
      <x:c r="C3" s="51" t="str">
        <x:v>DestEN</x:v>
      </x:c>
      <x:c r="D3" s="51" t="str">
        <x:v>Mode</x:v>
      </x:c>
      <x:c r="E3" s="51" t="str">
        <x:v>Distance_km</x:v>
      </x:c>
      <x:c r="F3" s="51" t="str">
        <x:v>Cost_$_per_km</x:v>
      </x:c>
      <x:c r="G3" s="51" t="str">
        <x:v>OriginRegionCode</x:v>
      </x:c>
      <x:c r="H3" s="51" t="str">
        <x:v>DestRegionCode</x:v>
      </x:c>
      <x:c r="I3" s="51" t="str">
        <x:v>OriginRegionGroup</x:v>
      </x:c>
      <x:c r="J3" s="51" t="str">
        <x:v>DestRegionGroup</x:v>
      </x:c>
      <x:c r="K3" s="51" t="str">
        <x:v>IsBorderArc</x:v>
      </x:c>
      <x:c r="L3" s="51" t="str">
        <x:v>Capacity_TEUday</x:v>
      </x:c>
      <x:c r="M3" s="51" t="str">
        <x:v>Capacity_TEUh</x:v>
      </x:c>
      <x:c r="N3" s="51" t="str">
        <x:v>TransitTime_h</x:v>
      </x:c>
      <x:c r="O3" s="51" t="str">
        <x:v>Scheduled_YN</x:v>
      </x:c>
      <x:c r="P3" s="51" t="str">
        <x:v>PanamaExposed</x:v>
      </x:c>
      <x:c r="Q3" s="51" t="str">
        <x:v>TotalCost_USD_per_TEU</x:v>
      </x:c>
      <x:c r="R3" s="51" t="str">
        <x:v>DataStatus</x:v>
      </x:c>
      <x:c r="S3" s="51" t="str">
        <x:v>Source_URL</x:v>
      </x:c>
      <x:c r="T3" s="51" t="str">
        <x:v>Notes</x:v>
      </x:c>
    </x:row>
    <x:row r="4">
      <x:c r="A4" s="34" t="str">
        <x:v>CN-R-01</x:v>
      </x:c>
      <x:c r="B4" s="34" t="str">
        <x:v>Xi'an</x:v>
      </x:c>
      <x:c r="C4" s="34" t="str">
        <x:v>Shanghai</x:v>
      </x:c>
      <x:c r="D4" s="34" t="str">
        <x:v>Rail</x:v>
      </x:c>
      <x:c r="E4" s="35" t="n">
        <x:v>1217.7</x:v>
      </x:c>
      <x:c r="F4" s="35" t="n">
        <x:v>0.3</x:v>
      </x:c>
      <x:c r="G4" s="35" t="str">
        <x:v>CN</x:v>
      </x:c>
      <x:c r="H4" s="35" t="str">
        <x:v>CN</x:v>
      </x:c>
      <x:c r="I4" s="35" t="str">
        <x:v>CN</x:v>
      </x:c>
      <x:c r="J4" s="35" t="str">
        <x:v>CN</x:v>
      </x:c>
      <x:c r="K4" s="35" t="n">
        <x:v>0</x:v>
      </x:c>
      <x:c r="L4" s="35" t="n">
        <x:v>2000</x:v>
      </x:c>
      <x:c r="M4" s="35" t="n">
        <x:v>83.3333</x:v>
      </x:c>
      <x:c r="N4" s="35" t="n">
        <x:v>30.4</x:v>
      </x:c>
      <x:c r="O4" s="35" t="n">
        <x:v>1</x:v>
      </x:c>
      <x:c r="P4" s="35" t="n">
        <x:v>0</x:v>
      </x:c>
      <x:c r="Q4" s="35" t="n">
        <x:v>365.31</x:v>
      </x:c>
      <x:c r="R4" s="34" t="str">
        <x:v>Existing distance + calibrated time</x:v>
      </x:c>
      <x:c r="S4" s="34" t="str">
        <x:v>data_expanded(4).xlsx</x:v>
      </x:c>
      <x:c r="T4" s="34" t="str">
        <x:v>Distance/cost inherited; freight-rail time calibrated at ~40 km/h effective speed</x:v>
      </x:c>
    </x:row>
    <x:row r="5">
      <x:c r="A5" s="34" t="str">
        <x:v>CN-D-01</x:v>
      </x:c>
      <x:c r="B5" s="34" t="str">
        <x:v>Xi'an</x:v>
      </x:c>
      <x:c r="C5" s="34" t="str">
        <x:v>Shanghai</x:v>
      </x:c>
      <x:c r="D5" s="34" t="str">
        <x:v>Road</x:v>
      </x:c>
      <x:c r="E5" s="35" t="n">
        <x:v>1363.7</x:v>
      </x:c>
      <x:c r="F5" s="35" t="n">
        <x:v>0.4</x:v>
      </x:c>
      <x:c r="G5" s="35" t="str">
        <x:v>CN</x:v>
      </x:c>
      <x:c r="H5" s="35" t="str">
        <x:v>CN</x:v>
      </x:c>
      <x:c r="I5" s="35" t="str">
        <x:v>CN</x:v>
      </x:c>
      <x:c r="J5" s="35" t="str">
        <x:v>CN</x:v>
      </x:c>
      <x:c r="K5" s="35" t="n">
        <x:v>0</x:v>
      </x:c>
      <x:c r="L5" s="35" t="n">
        <x:v>3000</x:v>
      </x:c>
      <x:c r="M5" s="35" t="n">
        <x:v>125</x:v>
      </x:c>
      <x:c r="N5" s="35" t="n">
        <x:v>22.7</x:v>
      </x:c>
      <x:c r="O5" s="35" t="n">
        <x:v>0</x:v>
      </x:c>
      <x:c r="P5" s="35" t="n">
        <x:v>0</x:v>
      </x:c>
      <x:c r="Q5" s="35" t="n">
        <x:v>545.48</x:v>
      </x:c>
      <x:c r="R5" s="34" t="str">
        <x:v>Current road distance</x:v>
      </x:c>
      <x:c r="S5" s="34" t="str">
        <x:v>https://www.rome2rio.com/s/Xi-an/Shanghai</x:v>
      </x:c>
      <x:c r="T5" s="34" t="str">
        <x:v>Road distance 1363.7 km; continuous service</x:v>
      </x:c>
    </x:row>
    <x:row r="6">
      <x:c r="A6" s="34" t="str">
        <x:v>CN-R-02</x:v>
      </x:c>
      <x:c r="B6" s="34" t="str">
        <x:v>Xi'an</x:v>
      </x:c>
      <x:c r="C6" s="34" t="str">
        <x:v>Ningbo</x:v>
      </x:c>
      <x:c r="D6" s="34" t="str">
        <x:v>Rail</x:v>
      </x:c>
      <x:c r="E6" s="35" t="n">
        <x:v>1282.9</x:v>
      </x:c>
      <x:c r="F6" s="35" t="n">
        <x:v>0.3</x:v>
      </x:c>
      <x:c r="G6" s="35" t="str">
        <x:v>CN</x:v>
      </x:c>
      <x:c r="H6" s="35" t="str">
        <x:v>CN</x:v>
      </x:c>
      <x:c r="I6" s="35" t="str">
        <x:v>CN</x:v>
      </x:c>
      <x:c r="J6" s="35" t="str">
        <x:v>CN</x:v>
      </x:c>
      <x:c r="K6" s="35" t="n">
        <x:v>0</x:v>
      </x:c>
      <x:c r="L6" s="35" t="n">
        <x:v>2000</x:v>
      </x:c>
      <x:c r="M6" s="35" t="n">
        <x:v>83.3333</x:v>
      </x:c>
      <x:c r="N6" s="35" t="n">
        <x:v>32.1</x:v>
      </x:c>
      <x:c r="O6" s="35" t="n">
        <x:v>1</x:v>
      </x:c>
      <x:c r="P6" s="35" t="n">
        <x:v>0</x:v>
      </x:c>
      <x:c r="Q6" s="35" t="n">
        <x:v>384.87</x:v>
      </x:c>
      <x:c r="R6" s="34" t="str">
        <x:v>Existing distance + calibrated time</x:v>
      </x:c>
      <x:c r="S6" s="34" t="str">
        <x:v>data_expanded(4).xlsx</x:v>
      </x:c>
      <x:c r="T6" s="34" t="str">
        <x:v>Distance/cost inherited; freight-rail time calibrated at ~40 km/h effective speed</x:v>
      </x:c>
    </x:row>
    <x:row r="7">
      <x:c r="A7" s="34" t="str">
        <x:v>CN-D-02</x:v>
      </x:c>
      <x:c r="B7" s="34" t="str">
        <x:v>Xi'an</x:v>
      </x:c>
      <x:c r="C7" s="34" t="str">
        <x:v>Ningbo</x:v>
      </x:c>
      <x:c r="D7" s="34" t="str">
        <x:v>Road</x:v>
      </x:c>
      <x:c r="E7" s="35" t="n">
        <x:v>1452.9</x:v>
      </x:c>
      <x:c r="F7" s="35" t="n">
        <x:v>0.4</x:v>
      </x:c>
      <x:c r="G7" s="35" t="str">
        <x:v>CN</x:v>
      </x:c>
      <x:c r="H7" s="35" t="str">
        <x:v>CN</x:v>
      </x:c>
      <x:c r="I7" s="35" t="str">
        <x:v>CN</x:v>
      </x:c>
      <x:c r="J7" s="35" t="str">
        <x:v>CN</x:v>
      </x:c>
      <x:c r="K7" s="35" t="n">
        <x:v>0</x:v>
      </x:c>
      <x:c r="L7" s="35" t="n">
        <x:v>3000</x:v>
      </x:c>
      <x:c r="M7" s="35" t="n">
        <x:v>125</x:v>
      </x:c>
      <x:c r="N7" s="35" t="n">
        <x:v>24.2</x:v>
      </x:c>
      <x:c r="O7" s="35" t="n">
        <x:v>0</x:v>
      </x:c>
      <x:c r="P7" s="35" t="n">
        <x:v>0</x:v>
      </x:c>
      <x:c r="Q7" s="35" t="n">
        <x:v>581.16</x:v>
      </x:c>
      <x:c r="R7" s="34" t="str">
        <x:v>Current road distance</x:v>
      </x:c>
      <x:c r="S7" s="34" t="str">
        <x:v>https://www.rome2rio.com/s/Xi-an/Ningbo</x:v>
      </x:c>
      <x:c r="T7" s="34" t="str">
        <x:v>Road distance 1452.9 km; continuous service</x:v>
      </x:c>
    </x:row>
    <x:row r="8">
      <x:c r="A8" s="34" t="str">
        <x:v>SEA-01</x:v>
      </x:c>
      <x:c r="B8" s="34" t="str">
        <x:v>Shanghai</x:v>
      </x:c>
      <x:c r="C8" s="34" t="str">
        <x:v>Los Angeles/Long Beach</x:v>
      </x:c>
      <x:c r="D8" s="34" t="str">
        <x:v>Water</x:v>
      </x:c>
      <x:c r="E8" s="35" t="n">
        <x:v>10879</x:v>
      </x:c>
      <x:c r="F8" s="35" t="n">
        <x:v>0.269407</x:v>
      </x:c>
      <x:c r="G8" s="35" t="str">
        <x:v>CN</x:v>
      </x:c>
      <x:c r="H8" s="35" t="str">
        <x:v>US</x:v>
      </x:c>
      <x:c r="I8" s="35" t="str">
        <x:v>CN</x:v>
      </x:c>
      <x:c r="J8" s="35" t="str">
        <x:v>USWC</x:v>
      </x:c>
      <x:c r="K8" s="35" t="n">
        <x:v>1</x:v>
      </x:c>
      <x:c r="L8" s="35" t="n">
        <x:v>5000</x:v>
      </x:c>
      <x:c r="M8" s="35" t="n">
        <x:v>208.3333</x:v>
      </x:c>
      <x:c r="N8" s="35" t="n">
        <x:v>336</x:v>
      </x:c>
      <x:c r="O8" s="35" t="n">
        <x:v>1</x:v>
      </x:c>
      <x:c r="P8" s="35" t="n">
        <x:v>0</x:v>
      </x:c>
      <x:c r="Q8" s="35" t="n">
        <x:v>2930.88</x:v>
      </x:c>
      <x:c r="R8" s="34" t="str">
        <x:v>Market average + route data</x:v>
      </x:c>
      <x:c r="S8" s="34" t="str">
        <x:v>https://www.fluentcargo.com/routes/shanghai-cn/los-angeles-us | https://www.drewry.co.uk/supply-chain-advisors/supply-chain-expertise/world-container-index-assessed-by-drewry</x:v>
      </x:c>
      <x:c r="T8" s="34" t="str">
        <x:v>USWC mean freight benchmark; 14-day baseline transit</x:v>
      </x:c>
    </x:row>
    <x:row r="9">
      <x:c r="A9" s="34" t="str">
        <x:v>SEA-02</x:v>
      </x:c>
      <x:c r="B9" s="34" t="str">
        <x:v>Ningbo</x:v>
      </x:c>
      <x:c r="C9" s="34" t="str">
        <x:v>Los Angeles/Long Beach</x:v>
      </x:c>
      <x:c r="D9" s="34" t="str">
        <x:v>Water</x:v>
      </x:c>
      <x:c r="E9" s="35" t="n">
        <x:v>10764</x:v>
      </x:c>
      <x:c r="F9" s="35" t="n">
        <x:v>0.272285</x:v>
      </x:c>
      <x:c r="G9" s="35" t="str">
        <x:v>CN</x:v>
      </x:c>
      <x:c r="H9" s="35" t="str">
        <x:v>US</x:v>
      </x:c>
      <x:c r="I9" s="35" t="str">
        <x:v>CN</x:v>
      </x:c>
      <x:c r="J9" s="35" t="str">
        <x:v>USWC</x:v>
      </x:c>
      <x:c r="K9" s="35" t="n">
        <x:v>1</x:v>
      </x:c>
      <x:c r="L9" s="35" t="n">
        <x:v>5000</x:v>
      </x:c>
      <x:c r="M9" s="35" t="n">
        <x:v>208.3333</x:v>
      </x:c>
      <x:c r="N9" s="35" t="n">
        <x:v>384</x:v>
      </x:c>
      <x:c r="O9" s="35" t="n">
        <x:v>1</x:v>
      </x:c>
      <x:c r="P9" s="35" t="n">
        <x:v>0</x:v>
      </x:c>
      <x:c r="Q9" s="35" t="n">
        <x:v>2930.88</x:v>
      </x:c>
      <x:c r="R9" s="34" t="str">
        <x:v>Market average + route data</x:v>
      </x:c>
      <x:c r="S9" s="34" t="str">
        <x:v>https://www.fluentcargo.com/routes/ningbo-cn/los-angeles-us | https://www.drewry.co.uk/supply-chain-advisors/supply-chain-expertise/world-container-index-assessed-by-drewry</x:v>
      </x:c>
      <x:c r="T9" s="34" t="str">
        <x:v>USWC mean freight benchmark; 16-day baseline transit</x:v>
      </x:c>
    </x:row>
    <x:row r="10">
      <x:c r="A10" s="34" t="str">
        <x:v>SEA-03</x:v>
      </x:c>
      <x:c r="B10" s="34" t="str">
        <x:v>Shanghai</x:v>
      </x:c>
      <x:c r="C10" s="34" t="str">
        <x:v>Seattle/Tacoma</x:v>
      </x:c>
      <x:c r="D10" s="34" t="str">
        <x:v>Water</x:v>
      </x:c>
      <x:c r="E10" s="35" t="n">
        <x:v>9647</x:v>
      </x:c>
      <x:c r="F10" s="35" t="n">
        <x:v>0.303812</x:v>
      </x:c>
      <x:c r="G10" s="35" t="str">
        <x:v>CN</x:v>
      </x:c>
      <x:c r="H10" s="35" t="str">
        <x:v>US</x:v>
      </x:c>
      <x:c r="I10" s="35" t="str">
        <x:v>CN</x:v>
      </x:c>
      <x:c r="J10" s="35" t="str">
        <x:v>USWC</x:v>
      </x:c>
      <x:c r="K10" s="35" t="n">
        <x:v>1</x:v>
      </x:c>
      <x:c r="L10" s="35" t="n">
        <x:v>5000</x:v>
      </x:c>
      <x:c r="M10" s="35" t="n">
        <x:v>208.3333</x:v>
      </x:c>
      <x:c r="N10" s="35" t="n">
        <x:v>390</x:v>
      </x:c>
      <x:c r="O10" s="35" t="n">
        <x:v>1</x:v>
      </x:c>
      <x:c r="P10" s="35" t="n">
        <x:v>0</x:v>
      </x:c>
      <x:c r="Q10" s="35" t="n">
        <x:v>2930.88</x:v>
      </x:c>
      <x:c r="R10" s="34" t="str">
        <x:v>Market average + route data</x:v>
      </x:c>
      <x:c r="S10" s="34" t="str">
        <x:v>https://www.fluentcargo.com/routes/shanghai-cn/seattle-us | https://www.drewry.co.uk/supply-chain-advisors/supply-chain-expertise/world-container-index-assessed-by-drewry</x:v>
      </x:c>
      <x:c r="T10" s="34" t="str">
        <x:v>Shanghai→Tacoma quickest direct route 16d6h</x:v>
      </x:c>
    </x:row>
    <x:row r="11">
      <x:c r="A11" s="34" t="str">
        <x:v>SEA-04</x:v>
      </x:c>
      <x:c r="B11" s="34" t="str">
        <x:v>Ningbo</x:v>
      </x:c>
      <x:c r="C11" s="34" t="str">
        <x:v>Seattle/Tacoma</x:v>
      </x:c>
      <x:c r="D11" s="34" t="str">
        <x:v>Water</x:v>
      </x:c>
      <x:c r="E11" s="35" t="n">
        <x:v>9074</x:v>
      </x:c>
      <x:c r="F11" s="35" t="n">
        <x:v>0.322997</x:v>
      </x:c>
      <x:c r="G11" s="35" t="str">
        <x:v>CN</x:v>
      </x:c>
      <x:c r="H11" s="35" t="str">
        <x:v>US</x:v>
      </x:c>
      <x:c r="I11" s="35" t="str">
        <x:v>CN</x:v>
      </x:c>
      <x:c r="J11" s="35" t="str">
        <x:v>USWC</x:v>
      </x:c>
      <x:c r="K11" s="35" t="n">
        <x:v>1</x:v>
      </x:c>
      <x:c r="L11" s="35" t="n">
        <x:v>5000</x:v>
      </x:c>
      <x:c r="M11" s="35" t="n">
        <x:v>208.3333</x:v>
      </x:c>
      <x:c r="N11" s="35" t="n">
        <x:v>360</x:v>
      </x:c>
      <x:c r="O11" s="35" t="n">
        <x:v>1</x:v>
      </x:c>
      <x:c r="P11" s="35" t="n">
        <x:v>0</x:v>
      </x:c>
      <x:c r="Q11" s="35" t="n">
        <x:v>2930.88</x:v>
      </x:c>
      <x:c r="R11" s="34" t="str">
        <x:v>Market average + route data</x:v>
      </x:c>
      <x:c r="S11" s="34" t="str">
        <x:v>https://www.onesilq.com/freight-rates/ningbo-to-seattle | https://www.drewry.co.uk/supply-chain-advisors/supply-chain-expertise/world-container-index-assessed-by-drewry</x:v>
      </x:c>
      <x:c r="T11" s="34" t="str">
        <x:v>Distance proxy to Seattle/Tacoma; 15-day service baseline from compiled carrier data</x:v>
      </x:c>
    </x:row>
    <x:row r="12">
      <x:c r="A12" s="34" t="str">
        <x:v>SEA-05</x:v>
      </x:c>
      <x:c r="B12" s="34" t="str">
        <x:v>Shanghai</x:v>
      </x:c>
      <x:c r="C12" s="34" t="str">
        <x:v>New York/New Jersey</x:v>
      </x:c>
      <x:c r="D12" s="34" t="str">
        <x:v>Water</x:v>
      </x:c>
      <x:c r="E12" s="35" t="n">
        <x:v>19598</x:v>
      </x:c>
      <x:c r="F12" s="35" t="n">
        <x:v>0.190887</x:v>
      </x:c>
      <x:c r="G12" s="35" t="str">
        <x:v>CN</x:v>
      </x:c>
      <x:c r="H12" s="35" t="str">
        <x:v>US</x:v>
      </x:c>
      <x:c r="I12" s="35" t="str">
        <x:v>CN</x:v>
      </x:c>
      <x:c r="J12" s="35" t="str">
        <x:v>USEC</x:v>
      </x:c>
      <x:c r="K12" s="35" t="n">
        <x:v>1</x:v>
      </x:c>
      <x:c r="L12" s="35" t="n">
        <x:v>5000</x:v>
      </x:c>
      <x:c r="M12" s="35" t="n">
        <x:v>208.3333</x:v>
      </x:c>
      <x:c r="N12" s="35" t="n">
        <x:v>672</x:v>
      </x:c>
      <x:c r="O12" s="35" t="n">
        <x:v>1</x:v>
      </x:c>
      <x:c r="P12" s="35" t="n">
        <x:v>1</x:v>
      </x:c>
      <x:c r="Q12" s="35" t="n">
        <x:v>3741</x:v>
      </x:c>
      <x:c r="R12" s="34" t="str">
        <x:v>Market average + route data</x:v>
      </x:c>
      <x:c r="S12" s="34" t="str">
        <x:v>https://www.freightwaves.com/news/will-imo-2020-pull-asia-containers-from-east-to-west-coast | https://www.drewry.co.uk/supply-chain-advisors/supply-chain-expertise/world-container-index-assessed-by-drewry</x:v>
      </x:c>
      <x:c r="T12" s="34" t="str">
        <x:v>10,582 nm via Panama; 28-day baseline; Panama-exposed</x:v>
      </x:c>
    </x:row>
    <x:row r="13">
      <x:c r="A13" s="34" t="str">
        <x:v>SEA-06</x:v>
      </x:c>
      <x:c r="B13" s="34" t="str">
        <x:v>Ningbo</x:v>
      </x:c>
      <x:c r="C13" s="34" t="str">
        <x:v>New York/New Jersey</x:v>
      </x:c>
      <x:c r="D13" s="34" t="str">
        <x:v>Water</x:v>
      </x:c>
      <x:c r="E13" s="35" t="n">
        <x:v>19883</x:v>
      </x:c>
      <x:c r="F13" s="35" t="n">
        <x:v>0.188151</x:v>
      </x:c>
      <x:c r="G13" s="35" t="str">
        <x:v>CN</x:v>
      </x:c>
      <x:c r="H13" s="35" t="str">
        <x:v>US</x:v>
      </x:c>
      <x:c r="I13" s="35" t="str">
        <x:v>CN</x:v>
      </x:c>
      <x:c r="J13" s="35" t="str">
        <x:v>USEC</x:v>
      </x:c>
      <x:c r="K13" s="35" t="n">
        <x:v>1</x:v>
      </x:c>
      <x:c r="L13" s="35" t="n">
        <x:v>5000</x:v>
      </x:c>
      <x:c r="M13" s="35" t="n">
        <x:v>208.3333</x:v>
      </x:c>
      <x:c r="N13" s="35" t="n">
        <x:v>720</x:v>
      </x:c>
      <x:c r="O13" s="35" t="n">
        <x:v>1</x:v>
      </x:c>
      <x:c r="P13" s="35" t="n">
        <x:v>1</x:v>
      </x:c>
      <x:c r="Q13" s="35" t="n">
        <x:v>3741</x:v>
      </x:c>
      <x:c r="R13" s="34" t="str">
        <x:v>Market average + route data</x:v>
      </x:c>
      <x:c r="S13" s="34" t="str">
        <x:v>https://seadex.ai/en/distance/from/ningbo-cnngb | https://www.drewry.co.uk/supply-chain-advisors/supply-chain-expertise/world-container-index-assessed-by-drewry</x:v>
      </x:c>
      <x:c r="T13" s="34" t="str">
        <x:v>10,736 nm route distance; 30-day baseline; Panama-exposed</x:v>
      </x:c>
    </x:row>
    <x:row r="14">
      <x:c r="A14" s="34" t="str">
        <x:v>US-R-01</x:v>
      </x:c>
      <x:c r="B14" s="34" t="str">
        <x:v>Los Angeles/Long Beach</x:v>
      </x:c>
      <x:c r="C14" s="34" t="str">
        <x:v>Chicago</x:v>
      </x:c>
      <x:c r="D14" s="34" t="str">
        <x:v>Rail</x:v>
      </x:c>
      <x:c r="E14" s="35" t="n">
        <x:v>3243</x:v>
      </x:c>
      <x:c r="F14" s="35" t="n">
        <x:v>0.431854</x:v>
      </x:c>
      <x:c r="G14" s="35" t="str">
        <x:v>US</x:v>
      </x:c>
      <x:c r="H14" s="35" t="str">
        <x:v>US</x:v>
      </x:c>
      <x:c r="I14" s="35" t="str">
        <x:v>USWC</x:v>
      </x:c>
      <x:c r="J14" s="35" t="str">
        <x:v>US_INLAND</x:v>
      </x:c>
      <x:c r="K14" s="35" t="n">
        <x:v>0</x:v>
      </x:c>
      <x:c r="L14" s="35" t="n">
        <x:v>2000</x:v>
      </x:c>
      <x:c r="M14" s="35" t="n">
        <x:v>83.3333</x:v>
      </x:c>
      <x:c r="N14" s="35" t="n">
        <x:v>76</x:v>
      </x:c>
      <x:c r="O14" s="35" t="n">
        <x:v>1</x:v>
      </x:c>
      <x:c r="P14" s="35" t="n">
        <x:v>0</x:v>
      </x:c>
      <x:c r="Q14" s="35" t="n">
        <x:v>1400.5</x:v>
      </x:c>
      <x:c r="R14" s="34" t="str">
        <x:v>Official benchmark</x:v>
      </x:c>
      <x:c r="S14" s="34" t="str">
        <x:v>https://www.up.com/press-releases/service/la-chicago-intermodal-nr-250807</x:v>
      </x:c>
      <x:c r="T14" s="34" t="str">
        <x:v>Average of published 70–82 h / ~3-day services; distance uses highway/corridor mileage proxy because carrier rail mileage is not public</x:v>
      </x:c>
    </x:row>
    <x:row r="15">
      <x:c r="A15" s="34" t="str">
        <x:v>US-D-01</x:v>
      </x:c>
      <x:c r="B15" s="34" t="str">
        <x:v>Los Angeles/Long Beach</x:v>
      </x:c>
      <x:c r="C15" s="34" t="str">
        <x:v>Chicago</x:v>
      </x:c>
      <x:c r="D15" s="34" t="str">
        <x:v>Road</x:v>
      </x:c>
      <x:c r="E15" s="35" t="n">
        <x:v>3243</x:v>
      </x:c>
      <x:c r="F15" s="35" t="n">
        <x:v>0.910311</x:v>
      </x:c>
      <x:c r="G15" s="35" t="str">
        <x:v>US</x:v>
      </x:c>
      <x:c r="H15" s="35" t="str">
        <x:v>US</x:v>
      </x:c>
      <x:c r="I15" s="35" t="str">
        <x:v>USWC</x:v>
      </x:c>
      <x:c r="J15" s="35" t="str">
        <x:v>US_INLAND</x:v>
      </x:c>
      <x:c r="K15" s="35" t="n">
        <x:v>0</x:v>
      </x:c>
      <x:c r="L15" s="35" t="n">
        <x:v>3000</x:v>
      </x:c>
      <x:c r="M15" s="35" t="n">
        <x:v>125</x:v>
      </x:c>
      <x:c r="N15" s="35" t="n">
        <x:v>54</x:v>
      </x:c>
      <x:c r="O15" s="35" t="n">
        <x:v>0</x:v>
      </x:c>
      <x:c r="P15" s="35" t="n">
        <x:v>0</x:v>
      </x:c>
      <x:c r="Q15" s="35" t="n">
        <x:v>2952.14</x:v>
      </x:c>
      <x:c r="R15" s="34" t="str">
        <x:v>Current road distance + 2026 road-rate benchmark</x:v>
      </x:c>
      <x:c r="S15" s="34" t="str">
        <x:v>https://www.travelmath.com/drive-distance/from/Los%2BAngeles%2C%2BCA/to/Chicago%2C%2BIL | https://www.dat.com/blog/</x:v>
      </x:c>
      <x:c r="T15" s="34" t="str">
        <x:v>Road distance source; cost coefficient derived from $2.93/mile all-in dry-van benchmark, assuming 40ft container = 2 TEU</x:v>
      </x:c>
    </x:row>
    <x:row r="16">
      <x:c r="A16" s="34" t="str">
        <x:v>US-R-02</x:v>
      </x:c>
      <x:c r="B16" s="34" t="str">
        <x:v>Los Angeles/Long Beach</x:v>
      </x:c>
      <x:c r="C16" s="34" t="str">
        <x:v>Memphis</x:v>
      </x:c>
      <x:c r="D16" s="34" t="str">
        <x:v>Rail</x:v>
      </x:c>
      <x:c r="E16" s="35" t="n">
        <x:v>2887</x:v>
      </x:c>
      <x:c r="F16" s="35" t="n">
        <x:v>0.431854</x:v>
      </x:c>
      <x:c r="G16" s="35" t="str">
        <x:v>US</x:v>
      </x:c>
      <x:c r="H16" s="35" t="str">
        <x:v>US</x:v>
      </x:c>
      <x:c r="I16" s="35" t="str">
        <x:v>USWC</x:v>
      </x:c>
      <x:c r="J16" s="35" t="str">
        <x:v>US_INLAND</x:v>
      </x:c>
      <x:c r="K16" s="35" t="n">
        <x:v>0</x:v>
      </x:c>
      <x:c r="L16" s="35" t="n">
        <x:v>2000</x:v>
      </x:c>
      <x:c r="M16" s="35" t="n">
        <x:v>83.3333</x:v>
      </x:c>
      <x:c r="N16" s="35" t="n">
        <x:v>96</x:v>
      </x:c>
      <x:c r="O16" s="35" t="n">
        <x:v>1</x:v>
      </x:c>
      <x:c r="P16" s="35" t="n">
        <x:v>0</x:v>
      </x:c>
      <x:c r="Q16" s="35" t="n">
        <x:v>1246.76</x:v>
      </x:c>
      <x:c r="R16" s="34" t="str">
        <x:v>Calibrated benchmark</x:v>
      </x:c>
      <x:c r="S16" s="34" t="str">
        <x:v>https://www.bnsf.com/bnsf-resources/pdf/ship-with-bnsf/pricing-and-tools/intermodal_customer_reference_guide.pdf</x:v>
      </x:c>
      <x:c r="T16" s="34" t="str">
        <x:v>4-day model value; commercial service confirmed; distance uses highway/corridor mileage proxy because carrier rail mileage is not public</x:v>
      </x:c>
    </x:row>
    <x:row r="17">
      <x:c r="A17" s="34" t="str">
        <x:v>US-D-02</x:v>
      </x:c>
      <x:c r="B17" s="34" t="str">
        <x:v>Los Angeles/Long Beach</x:v>
      </x:c>
      <x:c r="C17" s="34" t="str">
        <x:v>Memphis</x:v>
      </x:c>
      <x:c r="D17" s="34" t="str">
        <x:v>Road</x:v>
      </x:c>
      <x:c r="E17" s="35" t="n">
        <x:v>2887</x:v>
      </x:c>
      <x:c r="F17" s="35" t="n">
        <x:v>0.910311</x:v>
      </x:c>
      <x:c r="G17" s="35" t="str">
        <x:v>US</x:v>
      </x:c>
      <x:c r="H17" s="35" t="str">
        <x:v>US</x:v>
      </x:c>
      <x:c r="I17" s="35" t="str">
        <x:v>USWC</x:v>
      </x:c>
      <x:c r="J17" s="35" t="str">
        <x:v>US_INLAND</x:v>
      </x:c>
      <x:c r="K17" s="35" t="n">
        <x:v>0</x:v>
      </x:c>
      <x:c r="L17" s="35" t="n">
        <x:v>3000</x:v>
      </x:c>
      <x:c r="M17" s="35" t="n">
        <x:v>125</x:v>
      </x:c>
      <x:c r="N17" s="35" t="n">
        <x:v>48.1</x:v>
      </x:c>
      <x:c r="O17" s="35" t="n">
        <x:v>0</x:v>
      </x:c>
      <x:c r="P17" s="35" t="n">
        <x:v>0</x:v>
      </x:c>
      <x:c r="Q17" s="35" t="n">
        <x:v>2628.07</x:v>
      </x:c>
      <x:c r="R17" s="34" t="str">
        <x:v>Current road distance + 2026 road-rate benchmark</x:v>
      </x:c>
      <x:c r="S17" s="34" t="str">
        <x:v>https://www.travelmath.com/drive-distance/from/Los%2BAngeles%2C%2BCA/to/Memphis%2C%2BTN | https://www.dat.com/blog/</x:v>
      </x:c>
      <x:c r="T17" s="34" t="str">
        <x:v>Road distance source; cost coefficient derived from $2.93/mile all-in dry-van benchmark, assuming 40ft container = 2 TEU</x:v>
      </x:c>
    </x:row>
    <x:row r="18">
      <x:c r="A18" s="34" t="str">
        <x:v>US-R-03</x:v>
      </x:c>
      <x:c r="B18" s="34" t="str">
        <x:v>Los Angeles/Long Beach</x:v>
      </x:c>
      <x:c r="C18" s="34" t="str">
        <x:v>Columbus</x:v>
      </x:c>
      <x:c r="D18" s="34" t="str">
        <x:v>Rail</x:v>
      </x:c>
      <x:c r="E18" s="35" t="n">
        <x:v>3601</x:v>
      </x:c>
      <x:c r="F18" s="35" t="n">
        <x:v>0.431854</x:v>
      </x:c>
      <x:c r="G18" s="35" t="str">
        <x:v>US</x:v>
      </x:c>
      <x:c r="H18" s="35" t="str">
        <x:v>US</x:v>
      </x:c>
      <x:c r="I18" s="35" t="str">
        <x:v>USWC</x:v>
      </x:c>
      <x:c r="J18" s="35" t="str">
        <x:v>US_INLAND</x:v>
      </x:c>
      <x:c r="K18" s="35" t="n">
        <x:v>0</x:v>
      </x:c>
      <x:c r="L18" s="35" t="n">
        <x:v>2000</x:v>
      </x:c>
      <x:c r="M18" s="35" t="n">
        <x:v>83.3333</x:v>
      </x:c>
      <x:c r="N18" s="35" t="n">
        <x:v>115</x:v>
      </x:c>
      <x:c r="O18" s="35" t="n">
        <x:v>1</x:v>
      </x:c>
      <x:c r="P18" s="35" t="n">
        <x:v>0</x:v>
      </x:c>
      <x:c r="Q18" s="35" t="n">
        <x:v>1555.11</x:v>
      </x:c>
      <x:c r="R18" s="34" t="str">
        <x:v>Official schedule</x:v>
      </x:c>
      <x:c r="S18" s="34" t="str">
        <x:v>https://www.bnsf.com/news-media/customer-notifications/notification.page?notId=faster-coast-to-coast-solutions-bnsf-and-csx-launch-new-intermodal-schedules-to-ohio-valley-and-northeast</x:v>
      </x:c>
      <x:c r="T18" s="34" t="str">
        <x:v>Published BNSF/CSX LA→Columbus 115 h; distance uses highway/corridor mileage proxy because carrier rail mileage is not public</x:v>
      </x:c>
    </x:row>
    <x:row r="19">
      <x:c r="A19" s="34" t="str">
        <x:v>US-D-03</x:v>
      </x:c>
      <x:c r="B19" s="34" t="str">
        <x:v>Los Angeles/Long Beach</x:v>
      </x:c>
      <x:c r="C19" s="34" t="str">
        <x:v>Columbus</x:v>
      </x:c>
      <x:c r="D19" s="34" t="str">
        <x:v>Road</x:v>
      </x:c>
      <x:c r="E19" s="35" t="n">
        <x:v>3601</x:v>
      </x:c>
      <x:c r="F19" s="35" t="n">
        <x:v>0.910311</x:v>
      </x:c>
      <x:c r="G19" s="35" t="str">
        <x:v>US</x:v>
      </x:c>
      <x:c r="H19" s="35" t="str">
        <x:v>US</x:v>
      </x:c>
      <x:c r="I19" s="35" t="str">
        <x:v>USWC</x:v>
      </x:c>
      <x:c r="J19" s="35" t="str">
        <x:v>US_INLAND</x:v>
      </x:c>
      <x:c r="K19" s="35" t="n">
        <x:v>0</x:v>
      </x:c>
      <x:c r="L19" s="35" t="n">
        <x:v>3000</x:v>
      </x:c>
      <x:c r="M19" s="35" t="n">
        <x:v>125</x:v>
      </x:c>
      <x:c r="N19" s="35" t="n">
        <x:v>60</x:v>
      </x:c>
      <x:c r="O19" s="35" t="n">
        <x:v>0</x:v>
      </x:c>
      <x:c r="P19" s="35" t="n">
        <x:v>0</x:v>
      </x:c>
      <x:c r="Q19" s="35" t="n">
        <x:v>3278.03</x:v>
      </x:c>
      <x:c r="R19" s="34" t="str">
        <x:v>Current road distance + 2026 road-rate benchmark</x:v>
      </x:c>
      <x:c r="S19" s="34" t="str">
        <x:v>https://www.rome2rio.com/s/Los-Angeles/Columbus-OH-USA | https://www.dat.com/blog/</x:v>
      </x:c>
      <x:c r="T19" s="34" t="str">
        <x:v>Road distance source; cost coefficient derived from $2.93/mile all-in dry-van benchmark, assuming 40ft container = 2 TEU</x:v>
      </x:c>
    </x:row>
    <x:row r="20">
      <x:c r="A20" s="34" t="str">
        <x:v>US-R-04</x:v>
      </x:c>
      <x:c r="B20" s="34" t="str">
        <x:v>Seattle/Tacoma</x:v>
      </x:c>
      <x:c r="C20" s="34" t="str">
        <x:v>Chicago</x:v>
      </x:c>
      <x:c r="D20" s="34" t="str">
        <x:v>Rail</x:v>
      </x:c>
      <x:c r="E20" s="35" t="n">
        <x:v>3322</x:v>
      </x:c>
      <x:c r="F20" s="35" t="n">
        <x:v>0.431854</x:v>
      </x:c>
      <x:c r="G20" s="35" t="str">
        <x:v>US</x:v>
      </x:c>
      <x:c r="H20" s="35" t="str">
        <x:v>US</x:v>
      </x:c>
      <x:c r="I20" s="35" t="str">
        <x:v>USWC</x:v>
      </x:c>
      <x:c r="J20" s="35" t="str">
        <x:v>US_INLAND</x:v>
      </x:c>
      <x:c r="K20" s="35" t="n">
        <x:v>0</x:v>
      </x:c>
      <x:c r="L20" s="35" t="n">
        <x:v>2000</x:v>
      </x:c>
      <x:c r="M20" s="35" t="n">
        <x:v>83.3333</x:v>
      </x:c>
      <x:c r="N20" s="35" t="n">
        <x:v>132</x:v>
      </x:c>
      <x:c r="O20" s="35" t="n">
        <x:v>1</x:v>
      </x:c>
      <x:c r="P20" s="35" t="n">
        <x:v>0</x:v>
      </x:c>
      <x:c r="Q20" s="35" t="n">
        <x:v>1434.62</x:v>
      </x:c>
      <x:c r="R20" s="34" t="str">
        <x:v>Official total-time calibration</x:v>
      </x:c>
      <x:c r="S20" s="34" t="str">
        <x:v>https://www.bnsf.com/news-media/news-releases/newsrelease.page?relId=bnsf-ns-nwsa-redesign-faster-service-from-pnw-to-chicago-and-beyond</x:v>
      </x:c>
      <x:c r="T20" s="34" t="str">
        <x:v>Rail time set to 132 h + 12 h port transfer ≈ 6 days ship-to-Chicago; distance uses highway/corridor mileage proxy because carrier rail mileage is not public</x:v>
      </x:c>
    </x:row>
    <x:row r="21">
      <x:c r="A21" s="34" t="str">
        <x:v>US-D-04</x:v>
      </x:c>
      <x:c r="B21" s="34" t="str">
        <x:v>Seattle/Tacoma</x:v>
      </x:c>
      <x:c r="C21" s="34" t="str">
        <x:v>Chicago</x:v>
      </x:c>
      <x:c r="D21" s="34" t="str">
        <x:v>Road</x:v>
      </x:c>
      <x:c r="E21" s="35" t="n">
        <x:v>3322</x:v>
      </x:c>
      <x:c r="F21" s="35" t="n">
        <x:v>0.910311</x:v>
      </x:c>
      <x:c r="G21" s="35" t="str">
        <x:v>US</x:v>
      </x:c>
      <x:c r="H21" s="35" t="str">
        <x:v>US</x:v>
      </x:c>
      <x:c r="I21" s="35" t="str">
        <x:v>USWC</x:v>
      </x:c>
      <x:c r="J21" s="35" t="str">
        <x:v>US_INLAND</x:v>
      </x:c>
      <x:c r="K21" s="35" t="n">
        <x:v>0</x:v>
      </x:c>
      <x:c r="L21" s="35" t="n">
        <x:v>3000</x:v>
      </x:c>
      <x:c r="M21" s="35" t="n">
        <x:v>125</x:v>
      </x:c>
      <x:c r="N21" s="35" t="n">
        <x:v>55.4</x:v>
      </x:c>
      <x:c r="O21" s="35" t="n">
        <x:v>0</x:v>
      </x:c>
      <x:c r="P21" s="35" t="n">
        <x:v>0</x:v>
      </x:c>
      <x:c r="Q21" s="35" t="n">
        <x:v>3024.05</x:v>
      </x:c>
      <x:c r="R21" s="34" t="str">
        <x:v>Current road distance + 2026 road-rate benchmark</x:v>
      </x:c>
      <x:c r="S21" s="34" t="str">
        <x:v>https://www.travelmath.com/drive-distance/from/Seattle%2C%2BWA/to/Chicago%2C%2BIL | https://www.dat.com/blog/</x:v>
      </x:c>
      <x:c r="T21" s="34" t="str">
        <x:v>Road distance source; cost coefficient derived from $2.93/mile all-in dry-van benchmark, assuming 40ft container = 2 TEU</x:v>
      </x:c>
    </x:row>
    <x:row r="22">
      <x:c r="A22" s="34" t="str">
        <x:v>US-R-05</x:v>
      </x:c>
      <x:c r="B22" s="34" t="str">
        <x:v>Seattle/Tacoma</x:v>
      </x:c>
      <x:c r="C22" s="34" t="str">
        <x:v>Memphis</x:v>
      </x:c>
      <x:c r="D22" s="34" t="str">
        <x:v>Rail</x:v>
      </x:c>
      <x:c r="E22" s="35" t="n">
        <x:v>3681</x:v>
      </x:c>
      <x:c r="F22" s="35" t="n">
        <x:v>0.431854</x:v>
      </x:c>
      <x:c r="G22" s="35" t="str">
        <x:v>US</x:v>
      </x:c>
      <x:c r="H22" s="35" t="str">
        <x:v>US</x:v>
      </x:c>
      <x:c r="I22" s="35" t="str">
        <x:v>USWC</x:v>
      </x:c>
      <x:c r="J22" s="35" t="str">
        <x:v>US_INLAND</x:v>
      </x:c>
      <x:c r="K22" s="35" t="n">
        <x:v>0</x:v>
      </x:c>
      <x:c r="L22" s="35" t="n">
        <x:v>2000</x:v>
      </x:c>
      <x:c r="M22" s="35" t="n">
        <x:v>83.3333</x:v>
      </x:c>
      <x:c r="N22" s="35" t="n">
        <x:v>144</x:v>
      </x:c>
      <x:c r="O22" s="35" t="n">
        <x:v>1</x:v>
      </x:c>
      <x:c r="P22" s="35" t="n">
        <x:v>0</x:v>
      </x:c>
      <x:c r="Q22" s="35" t="n">
        <x:v>1589.65</x:v>
      </x:c>
      <x:c r="R22" s="34" t="str">
        <x:v>Calibrated benchmark</x:v>
      </x:c>
      <x:c r="S22" s="34" t="str">
        <x:v>https://www.bnsf.com/bnsf-resources/pdf/ship-with-bnsf/pricing-and-tools/intermodal_customer_reference_guide.pdf</x:v>
      </x:c>
      <x:c r="T22" s="34" t="str">
        <x:v>6-day model value; PNW→Memphis commercial connectivity confirmed; distance uses highway/corridor mileage proxy because carrier rail mileage is not public</x:v>
      </x:c>
    </x:row>
    <x:row r="23">
      <x:c r="A23" s="34" t="str">
        <x:v>US-D-05</x:v>
      </x:c>
      <x:c r="B23" s="34" t="str">
        <x:v>Seattle/Tacoma</x:v>
      </x:c>
      <x:c r="C23" s="34" t="str">
        <x:v>Memphis</x:v>
      </x:c>
      <x:c r="D23" s="34" t="str">
        <x:v>Road</x:v>
      </x:c>
      <x:c r="E23" s="35" t="n">
        <x:v>3681</x:v>
      </x:c>
      <x:c r="F23" s="35" t="n">
        <x:v>0.910311</x:v>
      </x:c>
      <x:c r="G23" s="35" t="str">
        <x:v>US</x:v>
      </x:c>
      <x:c r="H23" s="35" t="str">
        <x:v>US</x:v>
      </x:c>
      <x:c r="I23" s="35" t="str">
        <x:v>USWC</x:v>
      </x:c>
      <x:c r="J23" s="35" t="str">
        <x:v>US_INLAND</x:v>
      </x:c>
      <x:c r="K23" s="35" t="n">
        <x:v>0</x:v>
      </x:c>
      <x:c r="L23" s="35" t="n">
        <x:v>3000</x:v>
      </x:c>
      <x:c r="M23" s="35" t="n">
        <x:v>125</x:v>
      </x:c>
      <x:c r="N23" s="35" t="n">
        <x:v>61.4</x:v>
      </x:c>
      <x:c r="O23" s="35" t="n">
        <x:v>0</x:v>
      </x:c>
      <x:c r="P23" s="35" t="n">
        <x:v>0</x:v>
      </x:c>
      <x:c r="Q23" s="35" t="n">
        <x:v>3350.86</x:v>
      </x:c>
      <x:c r="R23" s="34" t="str">
        <x:v>Current road distance + 2026 road-rate benchmark</x:v>
      </x:c>
      <x:c r="S23" s="34" t="str">
        <x:v>https://www.rome2rio.com/s/Seattle/Memphis | https://www.dat.com/blog/</x:v>
      </x:c>
      <x:c r="T23" s="34" t="str">
        <x:v>Road distance source; cost coefficient derived from $2.93/mile all-in dry-van benchmark, assuming 40ft container = 2 TEU</x:v>
      </x:c>
    </x:row>
    <x:row r="24">
      <x:c r="A24" s="34" t="str">
        <x:v>US-R-06</x:v>
      </x:c>
      <x:c r="B24" s="34" t="str">
        <x:v>Seattle/Tacoma</x:v>
      </x:c>
      <x:c r="C24" s="34" t="str">
        <x:v>Columbus</x:v>
      </x:c>
      <x:c r="D24" s="34" t="str">
        <x:v>Rail</x:v>
      </x:c>
      <x:c r="E24" s="35" t="n">
        <x:v>3846</x:v>
      </x:c>
      <x:c r="F24" s="35" t="n">
        <x:v>0.431854</x:v>
      </x:c>
      <x:c r="G24" s="35" t="str">
        <x:v>US</x:v>
      </x:c>
      <x:c r="H24" s="35" t="str">
        <x:v>US</x:v>
      </x:c>
      <x:c r="I24" s="35" t="str">
        <x:v>USWC</x:v>
      </x:c>
      <x:c r="J24" s="35" t="str">
        <x:v>US_INLAND</x:v>
      </x:c>
      <x:c r="K24" s="35" t="n">
        <x:v>0</x:v>
      </x:c>
      <x:c r="L24" s="35" t="n">
        <x:v>2000</x:v>
      </x:c>
      <x:c r="M24" s="35" t="n">
        <x:v>83.3333</x:v>
      </x:c>
      <x:c r="N24" s="35" t="n">
        <x:v>156</x:v>
      </x:c>
      <x:c r="O24" s="35" t="n">
        <x:v>1</x:v>
      </x:c>
      <x:c r="P24" s="35" t="n">
        <x:v>0</x:v>
      </x:c>
      <x:c r="Q24" s="35" t="n">
        <x:v>1660.91</x:v>
      </x:c>
      <x:c r="R24" s="34" t="str">
        <x:v>Calibrated benchmark</x:v>
      </x:c>
      <x:c r="S24" s="34" t="str">
        <x:v>https://www.bnsf.com/bnsf-resources/pdf/ship-with-bnsf/pricing-and-tools/intermodal_customer_reference_guide.pdf</x:v>
      </x:c>
      <x:c r="T24" s="34" t="str">
        <x:v>6.5-day model value; PNW/Ohio service connectivity confirmed; distance uses highway/corridor mileage proxy because carrier rail mileage is not public</x:v>
      </x:c>
    </x:row>
    <x:row r="25">
      <x:c r="A25" s="34" t="str">
        <x:v>US-D-06</x:v>
      </x:c>
      <x:c r="B25" s="34" t="str">
        <x:v>Seattle/Tacoma</x:v>
      </x:c>
      <x:c r="C25" s="34" t="str">
        <x:v>Columbus</x:v>
      </x:c>
      <x:c r="D25" s="34" t="str">
        <x:v>Road</x:v>
      </x:c>
      <x:c r="E25" s="35" t="n">
        <x:v>3846</x:v>
      </x:c>
      <x:c r="F25" s="35" t="n">
        <x:v>0.910311</x:v>
      </x:c>
      <x:c r="G25" s="35" t="str">
        <x:v>US</x:v>
      </x:c>
      <x:c r="H25" s="35" t="str">
        <x:v>US</x:v>
      </x:c>
      <x:c r="I25" s="35" t="str">
        <x:v>USWC</x:v>
      </x:c>
      <x:c r="J25" s="35" t="str">
        <x:v>US_INLAND</x:v>
      </x:c>
      <x:c r="K25" s="35" t="n">
        <x:v>0</x:v>
      </x:c>
      <x:c r="L25" s="35" t="n">
        <x:v>3000</x:v>
      </x:c>
      <x:c r="M25" s="35" t="n">
        <x:v>125</x:v>
      </x:c>
      <x:c r="N25" s="35" t="n">
        <x:v>64.1</x:v>
      </x:c>
      <x:c r="O25" s="35" t="n">
        <x:v>0</x:v>
      </x:c>
      <x:c r="P25" s="35" t="n">
        <x:v>0</x:v>
      </x:c>
      <x:c r="Q25" s="35" t="n">
        <x:v>3501.06</x:v>
      </x:c>
      <x:c r="R25" s="34" t="str">
        <x:v>Current road distance + 2026 road-rate benchmark</x:v>
      </x:c>
      <x:c r="S25" s="34" t="str">
        <x:v>https://www.travelmath.com/drive-distance/from/Seattle%2C%2BWA/to/Columbus%2C%2BOH | https://www.dat.com/blog/</x:v>
      </x:c>
      <x:c r="T25" s="34" t="str">
        <x:v>Road distance source; cost coefficient derived from $2.93/mile all-in dry-van benchmark, assuming 40ft container = 2 TEU</x:v>
      </x:c>
    </x:row>
    <x:row r="26">
      <x:c r="A26" s="34" t="str">
        <x:v>US-R-07</x:v>
      </x:c>
      <x:c r="B26" s="34" t="str">
        <x:v>New York/New Jersey</x:v>
      </x:c>
      <x:c r="C26" s="34" t="str">
        <x:v>Chicago</x:v>
      </x:c>
      <x:c r="D26" s="34" t="str">
        <x:v>Rail</x:v>
      </x:c>
      <x:c r="E26" s="35" t="n">
        <x:v>1281</x:v>
      </x:c>
      <x:c r="F26" s="35" t="n">
        <x:v>0.431854</x:v>
      </x:c>
      <x:c r="G26" s="35" t="str">
        <x:v>US</x:v>
      </x:c>
      <x:c r="H26" s="35" t="str">
        <x:v>US</x:v>
      </x:c>
      <x:c r="I26" s="35" t="str">
        <x:v>USEC</x:v>
      </x:c>
      <x:c r="J26" s="35" t="str">
        <x:v>US_INLAND</x:v>
      </x:c>
      <x:c r="K26" s="35" t="n">
        <x:v>0</x:v>
      </x:c>
      <x:c r="L26" s="35" t="n">
        <x:v>2000</x:v>
      </x:c>
      <x:c r="M26" s="35" t="n">
        <x:v>83.3333</x:v>
      </x:c>
      <x:c r="N26" s="35" t="n">
        <x:v>84</x:v>
      </x:c>
      <x:c r="O26" s="35" t="n">
        <x:v>1</x:v>
      </x:c>
      <x:c r="P26" s="35" t="n">
        <x:v>0</x:v>
      </x:c>
      <x:c r="Q26" s="35" t="n">
        <x:v>553.21</x:v>
      </x:c>
      <x:c r="R26" s="34" t="str">
        <x:v>Commercial benchmark</x:v>
      </x:c>
      <x:c r="S26" s="34" t="str">
        <x:v>https://directfleetdispatch.com/lanes/new-york-to-chicago/</x:v>
      </x:c>
      <x:c r="T26" s="34" t="str">
        <x:v>Intermodal estimate 3–4 days; midpoint 84 h; distance uses highway/corridor mileage proxy because carrier rail mileage is not public</x:v>
      </x:c>
    </x:row>
    <x:row r="27">
      <x:c r="A27" s="34" t="str">
        <x:v>US-D-07</x:v>
      </x:c>
      <x:c r="B27" s="34" t="str">
        <x:v>New York/New Jersey</x:v>
      </x:c>
      <x:c r="C27" s="34" t="str">
        <x:v>Chicago</x:v>
      </x:c>
      <x:c r="D27" s="34" t="str">
        <x:v>Road</x:v>
      </x:c>
      <x:c r="E27" s="35" t="n">
        <x:v>1281</x:v>
      </x:c>
      <x:c r="F27" s="35" t="n">
        <x:v>0.910311</x:v>
      </x:c>
      <x:c r="G27" s="35" t="str">
        <x:v>US</x:v>
      </x:c>
      <x:c r="H27" s="35" t="str">
        <x:v>US</x:v>
      </x:c>
      <x:c r="I27" s="35" t="str">
        <x:v>USEC</x:v>
      </x:c>
      <x:c r="J27" s="35" t="str">
        <x:v>US_INLAND</x:v>
      </x:c>
      <x:c r="K27" s="35" t="n">
        <x:v>0</x:v>
      </x:c>
      <x:c r="L27" s="35" t="n">
        <x:v>3000</x:v>
      </x:c>
      <x:c r="M27" s="35" t="n">
        <x:v>125</x:v>
      </x:c>
      <x:c r="N27" s="35" t="n">
        <x:v>21.4</x:v>
      </x:c>
      <x:c r="O27" s="35" t="n">
        <x:v>0</x:v>
      </x:c>
      <x:c r="P27" s="35" t="n">
        <x:v>0</x:v>
      </x:c>
      <x:c r="Q27" s="35" t="n">
        <x:v>1166.11</x:v>
      </x:c>
      <x:c r="R27" s="34" t="str">
        <x:v>Current road distance + 2026 road-rate benchmark</x:v>
      </x:c>
      <x:c r="S27" s="34" t="str">
        <x:v>https://www.travelmath.com/drive-distance/from/New%2BYork%2C%2BNY/to/Chicago%2C%2BIL | https://www.dat.com/blog/</x:v>
      </x:c>
      <x:c r="T27" s="34" t="str">
        <x:v>Road distance source; cost coefficient derived from $2.93/mile all-in dry-van benchmark, assuming 40ft container = 2 TEU</x:v>
      </x:c>
    </x:row>
    <x:row r="28">
      <x:c r="A28" s="34" t="str">
        <x:v>US-R-08</x:v>
      </x:c>
      <x:c r="B28" s="34" t="str">
        <x:v>New York/New Jersey</x:v>
      </x:c>
      <x:c r="C28" s="34" t="str">
        <x:v>Memphis</x:v>
      </x:c>
      <x:c r="D28" s="34" t="str">
        <x:v>Rail</x:v>
      </x:c>
      <x:c r="E28" s="35" t="n">
        <x:v>1764</x:v>
      </x:c>
      <x:c r="F28" s="35" t="n">
        <x:v>0.431854</x:v>
      </x:c>
      <x:c r="G28" s="35" t="str">
        <x:v>US</x:v>
      </x:c>
      <x:c r="H28" s="35" t="str">
        <x:v>US</x:v>
      </x:c>
      <x:c r="I28" s="35" t="str">
        <x:v>USEC</x:v>
      </x:c>
      <x:c r="J28" s="35" t="str">
        <x:v>US_INLAND</x:v>
      </x:c>
      <x:c r="K28" s="35" t="n">
        <x:v>0</x:v>
      </x:c>
      <x:c r="L28" s="35" t="n">
        <x:v>2000</x:v>
      </x:c>
      <x:c r="M28" s="35" t="n">
        <x:v>83.3333</x:v>
      </x:c>
      <x:c r="N28" s="35" t="n">
        <x:v>96</x:v>
      </x:c>
      <x:c r="O28" s="35" t="n">
        <x:v>1</x:v>
      </x:c>
      <x:c r="P28" s="35" t="n">
        <x:v>0</x:v>
      </x:c>
      <x:c r="Q28" s="35" t="n">
        <x:v>761.79</x:v>
      </x:c>
      <x:c r="R28" s="34" t="str">
        <x:v>Calibrated benchmark</x:v>
      </x:c>
      <x:c r="S28" s="34" t="str">
        <x:v>https://www.panynj.gov/port/en/our-customers/intermodal-rail.html</x:v>
      </x:c>
      <x:c r="T28" s="34" t="str">
        <x:v>4-day model value; ExpressRail + inland service connectivity; distance uses highway/corridor mileage proxy because carrier rail mileage is not public</x:v>
      </x:c>
    </x:row>
    <x:row r="29">
      <x:c r="A29" s="34" t="str">
        <x:v>US-D-08</x:v>
      </x:c>
      <x:c r="B29" s="34" t="str">
        <x:v>New York/New Jersey</x:v>
      </x:c>
      <x:c r="C29" s="34" t="str">
        <x:v>Memphis</x:v>
      </x:c>
      <x:c r="D29" s="34" t="str">
        <x:v>Road</x:v>
      </x:c>
      <x:c r="E29" s="35" t="n">
        <x:v>1764</x:v>
      </x:c>
      <x:c r="F29" s="35" t="n">
        <x:v>0.910311</x:v>
      </x:c>
      <x:c r="G29" s="35" t="str">
        <x:v>US</x:v>
      </x:c>
      <x:c r="H29" s="35" t="str">
        <x:v>US</x:v>
      </x:c>
      <x:c r="I29" s="35" t="str">
        <x:v>USEC</x:v>
      </x:c>
      <x:c r="J29" s="35" t="str">
        <x:v>US_INLAND</x:v>
      </x:c>
      <x:c r="K29" s="35" t="n">
        <x:v>0</x:v>
      </x:c>
      <x:c r="L29" s="35" t="n">
        <x:v>3000</x:v>
      </x:c>
      <x:c r="M29" s="35" t="n">
        <x:v>125</x:v>
      </x:c>
      <x:c r="N29" s="35" t="n">
        <x:v>29.4</x:v>
      </x:c>
      <x:c r="O29" s="35" t="n">
        <x:v>0</x:v>
      </x:c>
      <x:c r="P29" s="35" t="n">
        <x:v>0</x:v>
      </x:c>
      <x:c r="Q29" s="35" t="n">
        <x:v>1605.79</x:v>
      </x:c>
      <x:c r="R29" s="34" t="str">
        <x:v>Current road distance + 2026 road-rate benchmark</x:v>
      </x:c>
      <x:c r="S29" s="34" t="str">
        <x:v>https://www.travelmath.com/drive-distance/from/New%2BYork%2C%2BNY/to/Memphis%2C%2BTN | https://www.dat.com/blog/</x:v>
      </x:c>
      <x:c r="T29" s="34" t="str">
        <x:v>Road distance source; cost coefficient derived from $2.93/mile all-in dry-van benchmark, assuming 40ft container = 2 TEU</x:v>
      </x:c>
    </x:row>
    <x:row r="30">
      <x:c r="A30" s="34" t="str">
        <x:v>US-R-09</x:v>
      </x:c>
      <x:c r="B30" s="34" t="str">
        <x:v>New York/New Jersey</x:v>
      </x:c>
      <x:c r="C30" s="34" t="str">
        <x:v>Columbus</x:v>
      </x:c>
      <x:c r="D30" s="34" t="str">
        <x:v>Rail</x:v>
      </x:c>
      <x:c r="E30" s="35" t="n">
        <x:v>863</x:v>
      </x:c>
      <x:c r="F30" s="35" t="n">
        <x:v>0.431854</x:v>
      </x:c>
      <x:c r="G30" s="35" t="str">
        <x:v>US</x:v>
      </x:c>
      <x:c r="H30" s="35" t="str">
        <x:v>US</x:v>
      </x:c>
      <x:c r="I30" s="35" t="str">
        <x:v>USEC</x:v>
      </x:c>
      <x:c r="J30" s="35" t="str">
        <x:v>US_INLAND</x:v>
      </x:c>
      <x:c r="K30" s="35" t="n">
        <x:v>0</x:v>
      </x:c>
      <x:c r="L30" s="35" t="n">
        <x:v>2000</x:v>
      </x:c>
      <x:c r="M30" s="35" t="n">
        <x:v>83.3333</x:v>
      </x:c>
      <x:c r="N30" s="35" t="n">
        <x:v>72</x:v>
      </x:c>
      <x:c r="O30" s="35" t="n">
        <x:v>1</x:v>
      </x:c>
      <x:c r="P30" s="35" t="n">
        <x:v>0</x:v>
      </x:c>
      <x:c r="Q30" s="35" t="n">
        <x:v>372.69</x:v>
      </x:c>
      <x:c r="R30" s="34" t="str">
        <x:v>Calibrated benchmark</x:v>
      </x:c>
      <x:c r="S30" s="34" t="str">
        <x:v>https://www.panynj.gov/port/en/our-customers/intermodal-rail.html</x:v>
      </x:c>
      <x:c r="T30" s="34" t="str">
        <x:v>3-day model value; Ohio Valley rail connectivity; distance uses highway/corridor mileage proxy because carrier rail mileage is not public</x:v>
      </x:c>
    </x:row>
    <x:row r="31">
      <x:c r="A31" s="34" t="str">
        <x:v>US-D-09</x:v>
      </x:c>
      <x:c r="B31" s="34" t="str">
        <x:v>New York/New Jersey</x:v>
      </x:c>
      <x:c r="C31" s="34" t="str">
        <x:v>Columbus</x:v>
      </x:c>
      <x:c r="D31" s="34" t="str">
        <x:v>Road</x:v>
      </x:c>
      <x:c r="E31" s="35" t="n">
        <x:v>863</x:v>
      </x:c>
      <x:c r="F31" s="35" t="n">
        <x:v>0.910311</x:v>
      </x:c>
      <x:c r="G31" s="35" t="str">
        <x:v>US</x:v>
      </x:c>
      <x:c r="H31" s="35" t="str">
        <x:v>US</x:v>
      </x:c>
      <x:c r="I31" s="35" t="str">
        <x:v>USEC</x:v>
      </x:c>
      <x:c r="J31" s="35" t="str">
        <x:v>US_INLAND</x:v>
      </x:c>
      <x:c r="K31" s="35" t="n">
        <x:v>0</x:v>
      </x:c>
      <x:c r="L31" s="35" t="n">
        <x:v>3000</x:v>
      </x:c>
      <x:c r="M31" s="35" t="n">
        <x:v>125</x:v>
      </x:c>
      <x:c r="N31" s="35" t="n">
        <x:v>14.4</x:v>
      </x:c>
      <x:c r="O31" s="35" t="n">
        <x:v>0</x:v>
      </x:c>
      <x:c r="P31" s="35" t="n">
        <x:v>0</x:v>
      </x:c>
      <x:c r="Q31" s="35" t="n">
        <x:v>785.6</x:v>
      </x:c>
      <x:c r="R31" s="34" t="str">
        <x:v>Current road distance + 2026 road-rate benchmark</x:v>
      </x:c>
      <x:c r="S31" s="34" t="str">
        <x:v>https://www.travelmath.com/drive-distance/from/New%2BYork%2C%2BNY/to/Columbus%2C%2BOH | https://www.dat.com/blog/</x:v>
      </x:c>
      <x:c r="T31" s="34" t="str">
        <x:v>Road distance source; cost coefficient derived from $2.93/mile all-in dry-van benchmark, assuming 40ft container = 2 TEU</x:v>
      </x:c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3086c1fa96454ca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25" hidden="0" customWidth="1"/>
    <x:col min="4" max="4" width="10" hidden="0" customWidth="1"/>
    <x:col min="5" max="5" width="18" hidden="0" customWidth="1"/>
    <x:col min="6" max="6" width="12" hidden="0" customWidth="1"/>
    <x:col min="7" max="7" width="20" hidden="0" customWidth="1"/>
    <x:col min="8" max="8" width="16" hidden="0" customWidth="1"/>
    <x:col min="9" max="9" width="16" hidden="0" customWidth="1"/>
    <x:col min="10" max="10" width="24" hidden="0" customWidth="1"/>
    <x:col min="11" max="11" width="58" hidden="0" customWidth="1"/>
    <x:col min="12" max="12" width="52" hidden="0" customWidth="1"/>
  </x:cols>
  <x:sheetData>
    <x:row r="1">
      <x:c r="A1" s="46" t="str">
        <x:v>Scheduled Service Timetable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3">
      <x:c r="A3" s="51" t="str">
        <x:v>ServiceID</x:v>
      </x:c>
      <x:c r="B3" s="51" t="str">
        <x:v>OriginEN</x:v>
      </x:c>
      <x:c r="C3" s="51" t="str">
        <x:v>DestEN</x:v>
      </x:c>
      <x:c r="D3" s="51" t="str">
        <x:v>Mode</x:v>
      </x:c>
      <x:c r="E3" s="51" t="str">
        <x:v>Frequency_per_week</x:v>
      </x:c>
      <x:c r="F3" s="51" t="str">
        <x:v>time</x:v>
      </x:c>
      <x:c r="G3" s="51" t="str">
        <x:v>FirstDepartureHour</x:v>
      </x:c>
      <x:c r="H3" s="51" t="str">
        <x:v>Headway_Hours</x:v>
      </x:c>
      <x:c r="I3" s="51" t="str">
        <x:v>Capacity_TEUday</x:v>
      </x:c>
      <x:c r="J3" s="51" t="str">
        <x:v>DataStatus</x:v>
      </x:c>
      <x:c r="K3" s="51" t="str">
        <x:v>Source_URL</x:v>
      </x:c>
      <x:c r="L3" s="51" t="str">
        <x:v>Notes</x:v>
      </x:c>
    </x:row>
    <x:row r="4">
      <x:c r="A4" s="34" t="str">
        <x:v>TT-CN-01</x:v>
      </x:c>
      <x:c r="B4" s="34" t="str">
        <x:v>Xi'an</x:v>
      </x:c>
      <x:c r="C4" s="34" t="str">
        <x:v>Shanghai</x:v>
      </x:c>
      <x:c r="D4" s="34" t="str">
        <x:v>rail</x:v>
      </x:c>
      <x:c r="E4" s="34" t="n">
        <x:v>4</x:v>
      </x:c>
      <x:c r="F4" s="34" t="n">
        <x:v>30.4</x:v>
      </x:c>
      <x:c r="G4" s="34" t="n">
        <x:v>8</x:v>
      </x:c>
      <x:c r="H4" s="34" t="n">
        <x:v>42</x:v>
      </x:c>
      <x:c r="I4" s="34" t="n">
        <x:v>2000</x:v>
      </x:c>
      <x:c r="J4" s="34" t="str">
        <x:v>Modelling schedule</x:v>
      </x:c>
      <x:c r="K4" s="34" t="str">
        <x:v>data_expanded(4).xlsx</x:v>
      </x:c>
      <x:c r="L4" s="34" t="str">
        <x:v>Frequency retained from existing model; transit recalibrated</x:v>
      </x:c>
    </x:row>
    <x:row r="5">
      <x:c r="A5" s="34" t="str">
        <x:v>TT-CN-02</x:v>
      </x:c>
      <x:c r="B5" s="34" t="str">
        <x:v>Xi'an</x:v>
      </x:c>
      <x:c r="C5" s="34" t="str">
        <x:v>Ningbo</x:v>
      </x:c>
      <x:c r="D5" s="34" t="str">
        <x:v>rail</x:v>
      </x:c>
      <x:c r="E5" s="34" t="n">
        <x:v>4</x:v>
      </x:c>
      <x:c r="F5" s="34" t="n">
        <x:v>32.1</x:v>
      </x:c>
      <x:c r="G5" s="34" t="n">
        <x:v>8</x:v>
      </x:c>
      <x:c r="H5" s="34" t="n">
        <x:v>42</x:v>
      </x:c>
      <x:c r="I5" s="34" t="n">
        <x:v>2000</x:v>
      </x:c>
      <x:c r="J5" s="34" t="str">
        <x:v>Modelling schedule</x:v>
      </x:c>
      <x:c r="K5" s="34" t="str">
        <x:v>data_expanded(4).xlsx</x:v>
      </x:c>
      <x:c r="L5" s="34" t="str">
        <x:v>Frequency retained from existing model; transit recalibrated</x:v>
      </x:c>
    </x:row>
    <x:row r="6">
      <x:c r="A6" s="34" t="str">
        <x:v>TT-SEA-01</x:v>
      </x:c>
      <x:c r="B6" s="34" t="str">
        <x:v>Shanghai</x:v>
      </x:c>
      <x:c r="C6" s="34" t="str">
        <x:v>Los Angeles/Long Beach</x:v>
      </x:c>
      <x:c r="D6" s="34" t="str">
        <x:v>water</x:v>
      </x:c>
      <x:c r="E6" s="34" t="n">
        <x:v>1</x:v>
      </x:c>
      <x:c r="F6" s="34" t="n">
        <x:v>336</x:v>
      </x:c>
      <x:c r="G6" s="34" t="n">
        <x:v>24</x:v>
      </x:c>
      <x:c r="H6" s="34" t="n">
        <x:v>168</x:v>
      </x:c>
      <x:c r="I6" s="34" t="n">
        <x:v>5000</x:v>
      </x:c>
      <x:c r="J6" s="34" t="str">
        <x:v>Carrier/market baseline</x:v>
      </x:c>
      <x:c r="K6" s="34" t="str">
        <x:v>https://www.fluentcargo.com/routes/shanghai-cn/los-angeles-us</x:v>
      </x:c>
      <x:c r="L6" s="34" t="str">
        <x:v>Weekly baseline</x:v>
      </x:c>
    </x:row>
    <x:row r="7">
      <x:c r="A7" s="34" t="str">
        <x:v>TT-SEA-02</x:v>
      </x:c>
      <x:c r="B7" s="34" t="str">
        <x:v>Ningbo</x:v>
      </x:c>
      <x:c r="C7" s="34" t="str">
        <x:v>Los Angeles/Long Beach</x:v>
      </x:c>
      <x:c r="D7" s="34" t="str">
        <x:v>water</x:v>
      </x:c>
      <x:c r="E7" s="34" t="n">
        <x:v>1</x:v>
      </x:c>
      <x:c r="F7" s="34" t="n">
        <x:v>384</x:v>
      </x:c>
      <x:c r="G7" s="34" t="n">
        <x:v>24</x:v>
      </x:c>
      <x:c r="H7" s="34" t="n">
        <x:v>168</x:v>
      </x:c>
      <x:c r="I7" s="34" t="n">
        <x:v>5000</x:v>
      </x:c>
      <x:c r="J7" s="34" t="str">
        <x:v>Compiled baseline</x:v>
      </x:c>
      <x:c r="K7" s="34" t="str">
        <x:v>https://www.fluentcargo.com/routes/ningbo-cn/los-angeles-us</x:v>
      </x:c>
      <x:c r="L7" s="34" t="str">
        <x:v>Weekly baseline</x:v>
      </x:c>
    </x:row>
    <x:row r="8">
      <x:c r="A8" s="34" t="str">
        <x:v>TT-SEA-03</x:v>
      </x:c>
      <x:c r="B8" s="34" t="str">
        <x:v>Shanghai</x:v>
      </x:c>
      <x:c r="C8" s="34" t="str">
        <x:v>Seattle/Tacoma</x:v>
      </x:c>
      <x:c r="D8" s="34" t="str">
        <x:v>water</x:v>
      </x:c>
      <x:c r="E8" s="34" t="n">
        <x:v>1</x:v>
      </x:c>
      <x:c r="F8" s="34" t="n">
        <x:v>390</x:v>
      </x:c>
      <x:c r="G8" s="34" t="n">
        <x:v>24</x:v>
      </x:c>
      <x:c r="H8" s="34" t="n">
        <x:v>168</x:v>
      </x:c>
      <x:c r="I8" s="34" t="n">
        <x:v>5000</x:v>
      </x:c>
      <x:c r="J8" s="34" t="str">
        <x:v>Route data</x:v>
      </x:c>
      <x:c r="K8" s="34" t="str">
        <x:v>https://www.fluentcargo.com/routes/shanghai-cn/seattle-us</x:v>
      </x:c>
      <x:c r="L8" s="34" t="str">
        <x:v>1–2 weekly services exist; model uses one weekly representative service</x:v>
      </x:c>
    </x:row>
    <x:row r="9">
      <x:c r="A9" s="34" t="str">
        <x:v>TT-SEA-04</x:v>
      </x:c>
      <x:c r="B9" s="34" t="str">
        <x:v>Ningbo</x:v>
      </x:c>
      <x:c r="C9" s="34" t="str">
        <x:v>Seattle/Tacoma</x:v>
      </x:c>
      <x:c r="D9" s="34" t="str">
        <x:v>water</x:v>
      </x:c>
      <x:c r="E9" s="34" t="n">
        <x:v>1</x:v>
      </x:c>
      <x:c r="F9" s="34" t="n">
        <x:v>360</x:v>
      </x:c>
      <x:c r="G9" s="34" t="n">
        <x:v>24</x:v>
      </x:c>
      <x:c r="H9" s="34" t="n">
        <x:v>168</x:v>
      </x:c>
      <x:c r="I9" s="34" t="n">
        <x:v>5000</x:v>
      </x:c>
      <x:c r="J9" s="34" t="str">
        <x:v>Compiled carrier baseline</x:v>
      </x:c>
      <x:c r="K9" s="34" t="str">
        <x:v>https://www.onesilq.com/freight-rates/ningbo-to-seattle</x:v>
      </x:c>
      <x:c r="L9" s="34" t="str">
        <x:v>Model uses one weekly representative service</x:v>
      </x:c>
    </x:row>
    <x:row r="10">
      <x:c r="A10" s="34" t="str">
        <x:v>TT-SEA-05</x:v>
      </x:c>
      <x:c r="B10" s="34" t="str">
        <x:v>Shanghai</x:v>
      </x:c>
      <x:c r="C10" s="34" t="str">
        <x:v>New York/New Jersey</x:v>
      </x:c>
      <x:c r="D10" s="34" t="str">
        <x:v>water</x:v>
      </x:c>
      <x:c r="E10" s="34" t="n">
        <x:v>1</x:v>
      </x:c>
      <x:c r="F10" s="34" t="n">
        <x:v>672</x:v>
      </x:c>
      <x:c r="G10" s="34" t="n">
        <x:v>24</x:v>
      </x:c>
      <x:c r="H10" s="34" t="n">
        <x:v>168</x:v>
      </x:c>
      <x:c r="I10" s="34" t="n">
        <x:v>5000</x:v>
      </x:c>
      <x:c r="J10" s="34" t="str">
        <x:v>Compiled carrier baseline</x:v>
      </x:c>
      <x:c r="K10" s="34" t="str">
        <x:v>https://www.cma-cgm.com/ebusiness/schedules/line-services/flyer/SAX</x:v>
      </x:c>
      <x:c r="L10" s="34" t="str">
        <x:v>Panama-exposed weekly representative service</x:v>
      </x:c>
    </x:row>
    <x:row r="11">
      <x:c r="A11" s="34" t="str">
        <x:v>TT-SEA-06</x:v>
      </x:c>
      <x:c r="B11" s="34" t="str">
        <x:v>Ningbo</x:v>
      </x:c>
      <x:c r="C11" s="34" t="str">
        <x:v>New York/New Jersey</x:v>
      </x:c>
      <x:c r="D11" s="34" t="str">
        <x:v>water</x:v>
      </x:c>
      <x:c r="E11" s="34" t="n">
        <x:v>1</x:v>
      </x:c>
      <x:c r="F11" s="34" t="n">
        <x:v>720</x:v>
      </x:c>
      <x:c r="G11" s="34" t="n">
        <x:v>24</x:v>
      </x:c>
      <x:c r="H11" s="34" t="n">
        <x:v>168</x:v>
      </x:c>
      <x:c r="I11" s="34" t="n">
        <x:v>5000</x:v>
      </x:c>
      <x:c r="J11" s="34" t="str">
        <x:v>Compiled carrier baseline</x:v>
      </x:c>
      <x:c r="K11" s="34" t="str">
        <x:v>https://www.cma-cgm.com/ebusiness/schedules/line-services/flyer/MANB</x:v>
      </x:c>
      <x:c r="L11" s="34" t="str">
        <x:v>Panama-exposed weekly representative service</x:v>
      </x:c>
    </x:row>
    <x:row r="12">
      <x:c r="A12" s="34" t="str">
        <x:v>TT-US-01</x:v>
      </x:c>
      <x:c r="B12" s="34" t="str">
        <x:v>Los Angeles/Long Beach</x:v>
      </x:c>
      <x:c r="C12" s="34" t="str">
        <x:v>Chicago</x:v>
      </x:c>
      <x:c r="D12" s="34" t="str">
        <x:v>rail</x:v>
      </x:c>
      <x:c r="E12" s="34" t="n">
        <x:v>5</x:v>
      </x:c>
      <x:c r="F12" s="34" t="n">
        <x:v>76</x:v>
      </x:c>
      <x:c r="G12" s="34" t="n">
        <x:v>12</x:v>
      </x:c>
      <x:c r="H12" s="34" t="n">
        <x:v>33.6</x:v>
      </x:c>
      <x:c r="I12" s="34" t="n">
        <x:v>2000</x:v>
      </x:c>
      <x:c r="J12" s="34" t="str">
        <x:v>Official benchmark</x:v>
      </x:c>
      <x:c r="K12" s="34" t="str">
        <x:v>https://www.up.com/press-releases/service/la-chicago-intermodal-nr-250807</x:v>
      </x:c>
      <x:c r="L12" s="34" t="str">
        <x:v>Average of published 70–82 h / ~3-day services</x:v>
      </x:c>
    </x:row>
    <x:row r="13">
      <x:c r="A13" s="34" t="str">
        <x:v>TT-US-02</x:v>
      </x:c>
      <x:c r="B13" s="34" t="str">
        <x:v>Los Angeles/Long Beach</x:v>
      </x:c>
      <x:c r="C13" s="34" t="str">
        <x:v>Memphis</x:v>
      </x:c>
      <x:c r="D13" s="34" t="str">
        <x:v>rail</x:v>
      </x:c>
      <x:c r="E13" s="34" t="n">
        <x:v>5</x:v>
      </x:c>
      <x:c r="F13" s="34" t="n">
        <x:v>96</x:v>
      </x:c>
      <x:c r="G13" s="34" t="n">
        <x:v>12</x:v>
      </x:c>
      <x:c r="H13" s="34" t="n">
        <x:v>33.6</x:v>
      </x:c>
      <x:c r="I13" s="34" t="n">
        <x:v>2000</x:v>
      </x:c>
      <x:c r="J13" s="34" t="str">
        <x:v>Calibrated benchmark</x:v>
      </x:c>
      <x:c r="K13" s="34" t="str">
        <x:v>https://www.bnsf.com/bnsf-resources/pdf/ship-with-bnsf/pricing-and-tools/intermodal_customer_reference_guide.pdf</x:v>
      </x:c>
      <x:c r="L13" s="34" t="str">
        <x:v>4-day model value; commercial service confirmed</x:v>
      </x:c>
    </x:row>
    <x:row r="14">
      <x:c r="A14" s="34" t="str">
        <x:v>TT-US-03</x:v>
      </x:c>
      <x:c r="B14" s="34" t="str">
        <x:v>Los Angeles/Long Beach</x:v>
      </x:c>
      <x:c r="C14" s="34" t="str">
        <x:v>Columbus</x:v>
      </x:c>
      <x:c r="D14" s="34" t="str">
        <x:v>rail</x:v>
      </x:c>
      <x:c r="E14" s="34" t="n">
        <x:v>5</x:v>
      </x:c>
      <x:c r="F14" s="34" t="n">
        <x:v>115</x:v>
      </x:c>
      <x:c r="G14" s="34" t="n">
        <x:v>12</x:v>
      </x:c>
      <x:c r="H14" s="34" t="n">
        <x:v>33.6</x:v>
      </x:c>
      <x:c r="I14" s="34" t="n">
        <x:v>2000</x:v>
      </x:c>
      <x:c r="J14" s="34" t="str">
        <x:v>Official schedule</x:v>
      </x:c>
      <x:c r="K14" s="34" t="str">
        <x:v>https://www.bnsf.com/news-media/customer-notifications/notification.page?notId=faster-coast-to-coast-solutions-bnsf-and-csx-launch-new-intermodal-schedules-to-ohio-valley-and-northeast</x:v>
      </x:c>
      <x:c r="L14" s="34" t="str">
        <x:v>Published BNSF/CSX LA→Columbus 115 h</x:v>
      </x:c>
    </x:row>
    <x:row r="15">
      <x:c r="A15" s="34" t="str">
        <x:v>TT-US-04</x:v>
      </x:c>
      <x:c r="B15" s="34" t="str">
        <x:v>Seattle/Tacoma</x:v>
      </x:c>
      <x:c r="C15" s="34" t="str">
        <x:v>Chicago</x:v>
      </x:c>
      <x:c r="D15" s="34" t="str">
        <x:v>rail</x:v>
      </x:c>
      <x:c r="E15" s="34" t="n">
        <x:v>5</x:v>
      </x:c>
      <x:c r="F15" s="34" t="n">
        <x:v>132</x:v>
      </x:c>
      <x:c r="G15" s="34" t="n">
        <x:v>12</x:v>
      </x:c>
      <x:c r="H15" s="34" t="n">
        <x:v>33.6</x:v>
      </x:c>
      <x:c r="I15" s="34" t="n">
        <x:v>2000</x:v>
      </x:c>
      <x:c r="J15" s="34" t="str">
        <x:v>Official total-time calibration</x:v>
      </x:c>
      <x:c r="K15" s="34" t="str">
        <x:v>https://www.bnsf.com/news-media/news-releases/newsrelease.page?relId=bnsf-ns-nwsa-redesign-faster-service-from-pnw-to-chicago-and-beyond</x:v>
      </x:c>
      <x:c r="L15" s="34" t="str">
        <x:v>Rail time set to 132 h + 12 h port transfer ≈ 6 days ship-to-Chicago</x:v>
      </x:c>
    </x:row>
    <x:row r="16">
      <x:c r="A16" s="34" t="str">
        <x:v>TT-US-05</x:v>
      </x:c>
      <x:c r="B16" s="34" t="str">
        <x:v>Seattle/Tacoma</x:v>
      </x:c>
      <x:c r="C16" s="34" t="str">
        <x:v>Memphis</x:v>
      </x:c>
      <x:c r="D16" s="34" t="str">
        <x:v>rail</x:v>
      </x:c>
      <x:c r="E16" s="34" t="n">
        <x:v>5</x:v>
      </x:c>
      <x:c r="F16" s="34" t="n">
        <x:v>144</x:v>
      </x:c>
      <x:c r="G16" s="34" t="n">
        <x:v>12</x:v>
      </x:c>
      <x:c r="H16" s="34" t="n">
        <x:v>33.6</x:v>
      </x:c>
      <x:c r="I16" s="34" t="n">
        <x:v>2000</x:v>
      </x:c>
      <x:c r="J16" s="34" t="str">
        <x:v>Calibrated benchmark</x:v>
      </x:c>
      <x:c r="K16" s="34" t="str">
        <x:v>https://www.bnsf.com/bnsf-resources/pdf/ship-with-bnsf/pricing-and-tools/intermodal_customer_reference_guide.pdf</x:v>
      </x:c>
      <x:c r="L16" s="34" t="str">
        <x:v>6-day model value; PNW→Memphis commercial connectivity confirmed</x:v>
      </x:c>
    </x:row>
    <x:row r="17">
      <x:c r="A17" s="34" t="str">
        <x:v>TT-US-06</x:v>
      </x:c>
      <x:c r="B17" s="34" t="str">
        <x:v>Seattle/Tacoma</x:v>
      </x:c>
      <x:c r="C17" s="34" t="str">
        <x:v>Columbus</x:v>
      </x:c>
      <x:c r="D17" s="34" t="str">
        <x:v>rail</x:v>
      </x:c>
      <x:c r="E17" s="34" t="n">
        <x:v>5</x:v>
      </x:c>
      <x:c r="F17" s="34" t="n">
        <x:v>156</x:v>
      </x:c>
      <x:c r="G17" s="34" t="n">
        <x:v>12</x:v>
      </x:c>
      <x:c r="H17" s="34" t="n">
        <x:v>33.6</x:v>
      </x:c>
      <x:c r="I17" s="34" t="n">
        <x:v>2000</x:v>
      </x:c>
      <x:c r="J17" s="34" t="str">
        <x:v>Calibrated benchmark</x:v>
      </x:c>
      <x:c r="K17" s="34" t="str">
        <x:v>https://www.bnsf.com/bnsf-resources/pdf/ship-with-bnsf/pricing-and-tools/intermodal_customer_reference_guide.pdf</x:v>
      </x:c>
      <x:c r="L17" s="34" t="str">
        <x:v>6.5-day model value; PNW/Ohio service connectivity confirmed</x:v>
      </x:c>
    </x:row>
    <x:row r="18">
      <x:c r="A18" s="34" t="str">
        <x:v>TT-US-07</x:v>
      </x:c>
      <x:c r="B18" s="34" t="str">
        <x:v>New York/New Jersey</x:v>
      </x:c>
      <x:c r="C18" s="34" t="str">
        <x:v>Chicago</x:v>
      </x:c>
      <x:c r="D18" s="34" t="str">
        <x:v>rail</x:v>
      </x:c>
      <x:c r="E18" s="34" t="n">
        <x:v>6</x:v>
      </x:c>
      <x:c r="F18" s="34" t="n">
        <x:v>84</x:v>
      </x:c>
      <x:c r="G18" s="34" t="n">
        <x:v>10</x:v>
      </x:c>
      <x:c r="H18" s="34" t="n">
        <x:v>28</x:v>
      </x:c>
      <x:c r="I18" s="34" t="n">
        <x:v>2000</x:v>
      </x:c>
      <x:c r="J18" s="34" t="str">
        <x:v>Commercial benchmark</x:v>
      </x:c>
      <x:c r="K18" s="34" t="str">
        <x:v>https://directfleetdispatch.com/lanes/new-york-to-chicago/</x:v>
      </x:c>
      <x:c r="L18" s="34" t="str">
        <x:v>Intermodal estimate 3–4 days; midpoint 84 h</x:v>
      </x:c>
    </x:row>
    <x:row r="19">
      <x:c r="A19" s="34" t="str">
        <x:v>TT-US-08</x:v>
      </x:c>
      <x:c r="B19" s="34" t="str">
        <x:v>New York/New Jersey</x:v>
      </x:c>
      <x:c r="C19" s="34" t="str">
        <x:v>Memphis</x:v>
      </x:c>
      <x:c r="D19" s="34" t="str">
        <x:v>rail</x:v>
      </x:c>
      <x:c r="E19" s="34" t="n">
        <x:v>6</x:v>
      </x:c>
      <x:c r="F19" s="34" t="n">
        <x:v>96</x:v>
      </x:c>
      <x:c r="G19" s="34" t="n">
        <x:v>10</x:v>
      </x:c>
      <x:c r="H19" s="34" t="n">
        <x:v>28</x:v>
      </x:c>
      <x:c r="I19" s="34" t="n">
        <x:v>2000</x:v>
      </x:c>
      <x:c r="J19" s="34" t="str">
        <x:v>Calibrated benchmark</x:v>
      </x:c>
      <x:c r="K19" s="34" t="str">
        <x:v>https://www.panynj.gov/port/en/our-customers/intermodal-rail.html</x:v>
      </x:c>
      <x:c r="L19" s="34" t="str">
        <x:v>4-day model value; ExpressRail + inland service connectivity</x:v>
      </x:c>
    </x:row>
    <x:row r="20">
      <x:c r="A20" s="34" t="str">
        <x:v>TT-US-09</x:v>
      </x:c>
      <x:c r="B20" s="34" t="str">
        <x:v>New York/New Jersey</x:v>
      </x:c>
      <x:c r="C20" s="34" t="str">
        <x:v>Columbus</x:v>
      </x:c>
      <x:c r="D20" s="34" t="str">
        <x:v>rail</x:v>
      </x:c>
      <x:c r="E20" s="34" t="n">
        <x:v>6</x:v>
      </x:c>
      <x:c r="F20" s="34" t="n">
        <x:v>72</x:v>
      </x:c>
      <x:c r="G20" s="34" t="n">
        <x:v>10</x:v>
      </x:c>
      <x:c r="H20" s="34" t="n">
        <x:v>28</x:v>
      </x:c>
      <x:c r="I20" s="34" t="n">
        <x:v>2000</x:v>
      </x:c>
      <x:c r="J20" s="34" t="str">
        <x:v>Calibrated benchmark</x:v>
      </x:c>
      <x:c r="K20" s="34" t="str">
        <x:v>https://www.panynj.gov/port/en/our-customers/intermodal-rail.html</x:v>
      </x:c>
      <x:c r="L20" s="34" t="str">
        <x:v>3-day model value; Ohio Valley rail connectivity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4aaa84e9b414f19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5" hidden="0" customWidth="1"/>
    <x:col min="4" max="4" width="25" hidden="0" customWidth="1"/>
    <x:col min="5" max="5" width="10" hidden="0" customWidth="1"/>
    <x:col min="6" max="6" width="16" hidden="0" customWidth="1"/>
    <x:col min="7" max="7" width="16" hidden="0" customWidth="1"/>
    <x:col min="8" max="8" width="12" hidden="0" customWidth="1"/>
  </x:cols>
  <x:sheetData>
    <x:row r="1">
      <x:c r="A1" s="46" t="str">
        <x:v>Explicit Departure Calendar — 8-week Planning Horizon</x:v>
      </x:c>
      <x:c r="B1" s="46"/>
      <x:c r="C1" s="46"/>
      <x:c r="D1" s="46"/>
      <x:c r="E1" s="46"/>
      <x:c r="F1" s="46"/>
      <x:c r="G1" s="46"/>
      <x:c r="H1" s="46"/>
    </x:row>
    <x:row r="3">
      <x:c r="A3" s="51" t="str">
        <x:v>ServiceID</x:v>
      </x:c>
      <x:c r="B3" s="51" t="str">
        <x:v>DepartureNo</x:v>
      </x:c>
      <x:c r="C3" s="51" t="str">
        <x:v>OriginEN</x:v>
      </x:c>
      <x:c r="D3" s="51" t="str">
        <x:v>DestEN</x:v>
      </x:c>
      <x:c r="E3" s="51" t="str">
        <x:v>Mode</x:v>
      </x:c>
      <x:c r="F3" s="51" t="str">
        <x:v>DepartureHour</x:v>
      </x:c>
      <x:c r="G3" s="51" t="str">
        <x:v>ArrivalHour</x:v>
      </x:c>
      <x:c r="H3" s="51" t="str">
        <x:v>WeekIndex</x:v>
      </x:c>
    </x:row>
    <x:row r="4">
      <x:c r="A4" t="str">
        <x:v>TT-CN-01</x:v>
      </x:c>
      <x:c r="B4" t="n">
        <x:v>1</x:v>
      </x:c>
      <x:c r="C4" t="str">
        <x:v>Xi'an</x:v>
      </x:c>
      <x:c r="D4" t="str">
        <x:v>Shanghai</x:v>
      </x:c>
      <x:c r="E4" t="str">
        <x:v>rail</x:v>
      </x:c>
      <x:c r="F4" s="22" t="n">
        <x:v>8</x:v>
      </x:c>
      <x:c r="G4" s="22" t="n">
        <x:v>38.4</x:v>
      </x:c>
      <x:c r="H4" t="n">
        <x:v>1</x:v>
      </x:c>
    </x:row>
    <x:row r="5">
      <x:c r="A5" t="str">
        <x:v>TT-CN-01</x:v>
      </x:c>
      <x:c r="B5" t="n">
        <x:v>2</x:v>
      </x:c>
      <x:c r="C5" t="str">
        <x:v>Xi'an</x:v>
      </x:c>
      <x:c r="D5" t="str">
        <x:v>Shanghai</x:v>
      </x:c>
      <x:c r="E5" t="str">
        <x:v>rail</x:v>
      </x:c>
      <x:c r="F5" s="22" t="n">
        <x:v>50</x:v>
      </x:c>
      <x:c r="G5" s="22" t="n">
        <x:v>80.4</x:v>
      </x:c>
      <x:c r="H5" t="n">
        <x:v>1</x:v>
      </x:c>
    </x:row>
    <x:row r="6">
      <x:c r="A6" t="str">
        <x:v>TT-CN-01</x:v>
      </x:c>
      <x:c r="B6" t="n">
        <x:v>3</x:v>
      </x:c>
      <x:c r="C6" t="str">
        <x:v>Xi'an</x:v>
      </x:c>
      <x:c r="D6" t="str">
        <x:v>Shanghai</x:v>
      </x:c>
      <x:c r="E6" t="str">
        <x:v>rail</x:v>
      </x:c>
      <x:c r="F6" s="22" t="n">
        <x:v>92</x:v>
      </x:c>
      <x:c r="G6" s="22" t="n">
        <x:v>122.4</x:v>
      </x:c>
      <x:c r="H6" t="n">
        <x:v>1</x:v>
      </x:c>
    </x:row>
    <x:row r="7">
      <x:c r="A7" t="str">
        <x:v>TT-CN-01</x:v>
      </x:c>
      <x:c r="B7" t="n">
        <x:v>4</x:v>
      </x:c>
      <x:c r="C7" t="str">
        <x:v>Xi'an</x:v>
      </x:c>
      <x:c r="D7" t="str">
        <x:v>Shanghai</x:v>
      </x:c>
      <x:c r="E7" t="str">
        <x:v>rail</x:v>
      </x:c>
      <x:c r="F7" s="22" t="n">
        <x:v>134</x:v>
      </x:c>
      <x:c r="G7" s="22" t="n">
        <x:v>164.4</x:v>
      </x:c>
      <x:c r="H7" t="n">
        <x:v>1</x:v>
      </x:c>
    </x:row>
    <x:row r="8">
      <x:c r="A8" t="str">
        <x:v>TT-CN-01</x:v>
      </x:c>
      <x:c r="B8" t="n">
        <x:v>5</x:v>
      </x:c>
      <x:c r="C8" t="str">
        <x:v>Xi'an</x:v>
      </x:c>
      <x:c r="D8" t="str">
        <x:v>Shanghai</x:v>
      </x:c>
      <x:c r="E8" t="str">
        <x:v>rail</x:v>
      </x:c>
      <x:c r="F8" s="22" t="n">
        <x:v>176</x:v>
      </x:c>
      <x:c r="G8" s="22" t="n">
        <x:v>206.4</x:v>
      </x:c>
      <x:c r="H8" t="n">
        <x:v>2</x:v>
      </x:c>
    </x:row>
    <x:row r="9">
      <x:c r="A9" t="str">
        <x:v>TT-CN-01</x:v>
      </x:c>
      <x:c r="B9" t="n">
        <x:v>6</x:v>
      </x:c>
      <x:c r="C9" t="str">
        <x:v>Xi'an</x:v>
      </x:c>
      <x:c r="D9" t="str">
        <x:v>Shanghai</x:v>
      </x:c>
      <x:c r="E9" t="str">
        <x:v>rail</x:v>
      </x:c>
      <x:c r="F9" s="22" t="n">
        <x:v>218</x:v>
      </x:c>
      <x:c r="G9" s="22" t="n">
        <x:v>248.4</x:v>
      </x:c>
      <x:c r="H9" t="n">
        <x:v>2</x:v>
      </x:c>
    </x:row>
    <x:row r="10">
      <x:c r="A10" t="str">
        <x:v>TT-CN-01</x:v>
      </x:c>
      <x:c r="B10" t="n">
        <x:v>7</x:v>
      </x:c>
      <x:c r="C10" t="str">
        <x:v>Xi'an</x:v>
      </x:c>
      <x:c r="D10" t="str">
        <x:v>Shanghai</x:v>
      </x:c>
      <x:c r="E10" t="str">
        <x:v>rail</x:v>
      </x:c>
      <x:c r="F10" s="22" t="n">
        <x:v>260</x:v>
      </x:c>
      <x:c r="G10" s="22" t="n">
        <x:v>290.4</x:v>
      </x:c>
      <x:c r="H10" t="n">
        <x:v>2</x:v>
      </x:c>
    </x:row>
    <x:row r="11">
      <x:c r="A11" t="str">
        <x:v>TT-CN-01</x:v>
      </x:c>
      <x:c r="B11" t="n">
        <x:v>8</x:v>
      </x:c>
      <x:c r="C11" t="str">
        <x:v>Xi'an</x:v>
      </x:c>
      <x:c r="D11" t="str">
        <x:v>Shanghai</x:v>
      </x:c>
      <x:c r="E11" t="str">
        <x:v>rail</x:v>
      </x:c>
      <x:c r="F11" s="22" t="n">
        <x:v>302</x:v>
      </x:c>
      <x:c r="G11" s="22" t="n">
        <x:v>332.4</x:v>
      </x:c>
      <x:c r="H11" t="n">
        <x:v>2</x:v>
      </x:c>
    </x:row>
    <x:row r="12">
      <x:c r="A12" t="str">
        <x:v>TT-CN-01</x:v>
      </x:c>
      <x:c r="B12" t="n">
        <x:v>9</x:v>
      </x:c>
      <x:c r="C12" t="str">
        <x:v>Xi'an</x:v>
      </x:c>
      <x:c r="D12" t="str">
        <x:v>Shanghai</x:v>
      </x:c>
      <x:c r="E12" t="str">
        <x:v>rail</x:v>
      </x:c>
      <x:c r="F12" s="22" t="n">
        <x:v>344</x:v>
      </x:c>
      <x:c r="G12" s="22" t="n">
        <x:v>374.4</x:v>
      </x:c>
      <x:c r="H12" t="n">
        <x:v>3</x:v>
      </x:c>
    </x:row>
    <x:row r="13">
      <x:c r="A13" t="str">
        <x:v>TT-CN-01</x:v>
      </x:c>
      <x:c r="B13" t="n">
        <x:v>10</x:v>
      </x:c>
      <x:c r="C13" t="str">
        <x:v>Xi'an</x:v>
      </x:c>
      <x:c r="D13" t="str">
        <x:v>Shanghai</x:v>
      </x:c>
      <x:c r="E13" t="str">
        <x:v>rail</x:v>
      </x:c>
      <x:c r="F13" s="22" t="n">
        <x:v>386</x:v>
      </x:c>
      <x:c r="G13" s="22" t="n">
        <x:v>416.4</x:v>
      </x:c>
      <x:c r="H13" t="n">
        <x:v>3</x:v>
      </x:c>
    </x:row>
    <x:row r="14">
      <x:c r="A14" t="str">
        <x:v>TT-CN-01</x:v>
      </x:c>
      <x:c r="B14" t="n">
        <x:v>11</x:v>
      </x:c>
      <x:c r="C14" t="str">
        <x:v>Xi'an</x:v>
      </x:c>
      <x:c r="D14" t="str">
        <x:v>Shanghai</x:v>
      </x:c>
      <x:c r="E14" t="str">
        <x:v>rail</x:v>
      </x:c>
      <x:c r="F14" s="22" t="n">
        <x:v>428</x:v>
      </x:c>
      <x:c r="G14" s="22" t="n">
        <x:v>458.4</x:v>
      </x:c>
      <x:c r="H14" t="n">
        <x:v>3</x:v>
      </x:c>
    </x:row>
    <x:row r="15">
      <x:c r="A15" t="str">
        <x:v>TT-CN-01</x:v>
      </x:c>
      <x:c r="B15" t="n">
        <x:v>12</x:v>
      </x:c>
      <x:c r="C15" t="str">
        <x:v>Xi'an</x:v>
      </x:c>
      <x:c r="D15" t="str">
        <x:v>Shanghai</x:v>
      </x:c>
      <x:c r="E15" t="str">
        <x:v>rail</x:v>
      </x:c>
      <x:c r="F15" s="22" t="n">
        <x:v>470</x:v>
      </x:c>
      <x:c r="G15" s="22" t="n">
        <x:v>500.4</x:v>
      </x:c>
      <x:c r="H15" t="n">
        <x:v>3</x:v>
      </x:c>
    </x:row>
    <x:row r="16">
      <x:c r="A16" t="str">
        <x:v>TT-CN-01</x:v>
      </x:c>
      <x:c r="B16" t="n">
        <x:v>13</x:v>
      </x:c>
      <x:c r="C16" t="str">
        <x:v>Xi'an</x:v>
      </x:c>
      <x:c r="D16" t="str">
        <x:v>Shanghai</x:v>
      </x:c>
      <x:c r="E16" t="str">
        <x:v>rail</x:v>
      </x:c>
      <x:c r="F16" s="22" t="n">
        <x:v>512</x:v>
      </x:c>
      <x:c r="G16" s="22" t="n">
        <x:v>542.4</x:v>
      </x:c>
      <x:c r="H16" t="n">
        <x:v>4</x:v>
      </x:c>
    </x:row>
    <x:row r="17">
      <x:c r="A17" t="str">
        <x:v>TT-CN-01</x:v>
      </x:c>
      <x:c r="B17" t="n">
        <x:v>14</x:v>
      </x:c>
      <x:c r="C17" t="str">
        <x:v>Xi'an</x:v>
      </x:c>
      <x:c r="D17" t="str">
        <x:v>Shanghai</x:v>
      </x:c>
      <x:c r="E17" t="str">
        <x:v>rail</x:v>
      </x:c>
      <x:c r="F17" s="22" t="n">
        <x:v>554</x:v>
      </x:c>
      <x:c r="G17" s="22" t="n">
        <x:v>584.4</x:v>
      </x:c>
      <x:c r="H17" t="n">
        <x:v>4</x:v>
      </x:c>
    </x:row>
    <x:row r="18">
      <x:c r="A18" t="str">
        <x:v>TT-CN-01</x:v>
      </x:c>
      <x:c r="B18" t="n">
        <x:v>15</x:v>
      </x:c>
      <x:c r="C18" t="str">
        <x:v>Xi'an</x:v>
      </x:c>
      <x:c r="D18" t="str">
        <x:v>Shanghai</x:v>
      </x:c>
      <x:c r="E18" t="str">
        <x:v>rail</x:v>
      </x:c>
      <x:c r="F18" s="22" t="n">
        <x:v>596</x:v>
      </x:c>
      <x:c r="G18" s="22" t="n">
        <x:v>626.4</x:v>
      </x:c>
      <x:c r="H18" t="n">
        <x:v>4</x:v>
      </x:c>
    </x:row>
    <x:row r="19">
      <x:c r="A19" t="str">
        <x:v>TT-CN-01</x:v>
      </x:c>
      <x:c r="B19" t="n">
        <x:v>16</x:v>
      </x:c>
      <x:c r="C19" t="str">
        <x:v>Xi'an</x:v>
      </x:c>
      <x:c r="D19" t="str">
        <x:v>Shanghai</x:v>
      </x:c>
      <x:c r="E19" t="str">
        <x:v>rail</x:v>
      </x:c>
      <x:c r="F19" s="22" t="n">
        <x:v>638</x:v>
      </x:c>
      <x:c r="G19" s="22" t="n">
        <x:v>668.4</x:v>
      </x:c>
      <x:c r="H19" t="n">
        <x:v>4</x:v>
      </x:c>
    </x:row>
    <x:row r="20">
      <x:c r="A20" t="str">
        <x:v>TT-CN-01</x:v>
      </x:c>
      <x:c r="B20" t="n">
        <x:v>17</x:v>
      </x:c>
      <x:c r="C20" t="str">
        <x:v>Xi'an</x:v>
      </x:c>
      <x:c r="D20" t="str">
        <x:v>Shanghai</x:v>
      </x:c>
      <x:c r="E20" t="str">
        <x:v>rail</x:v>
      </x:c>
      <x:c r="F20" s="22" t="n">
        <x:v>680</x:v>
      </x:c>
      <x:c r="G20" s="22" t="n">
        <x:v>710.4</x:v>
      </x:c>
      <x:c r="H20" t="n">
        <x:v>5</x:v>
      </x:c>
    </x:row>
    <x:row r="21">
      <x:c r="A21" t="str">
        <x:v>TT-CN-01</x:v>
      </x:c>
      <x:c r="B21" t="n">
        <x:v>18</x:v>
      </x:c>
      <x:c r="C21" t="str">
        <x:v>Xi'an</x:v>
      </x:c>
      <x:c r="D21" t="str">
        <x:v>Shanghai</x:v>
      </x:c>
      <x:c r="E21" t="str">
        <x:v>rail</x:v>
      </x:c>
      <x:c r="F21" s="22" t="n">
        <x:v>722</x:v>
      </x:c>
      <x:c r="G21" s="22" t="n">
        <x:v>752.4</x:v>
      </x:c>
      <x:c r="H21" t="n">
        <x:v>5</x:v>
      </x:c>
    </x:row>
    <x:row r="22">
      <x:c r="A22" t="str">
        <x:v>TT-CN-01</x:v>
      </x:c>
      <x:c r="B22" t="n">
        <x:v>19</x:v>
      </x:c>
      <x:c r="C22" t="str">
        <x:v>Xi'an</x:v>
      </x:c>
      <x:c r="D22" t="str">
        <x:v>Shanghai</x:v>
      </x:c>
      <x:c r="E22" t="str">
        <x:v>rail</x:v>
      </x:c>
      <x:c r="F22" s="22" t="n">
        <x:v>764</x:v>
      </x:c>
      <x:c r="G22" s="22" t="n">
        <x:v>794.4</x:v>
      </x:c>
      <x:c r="H22" t="n">
        <x:v>5</x:v>
      </x:c>
    </x:row>
    <x:row r="23">
      <x:c r="A23" t="str">
        <x:v>TT-CN-01</x:v>
      </x:c>
      <x:c r="B23" t="n">
        <x:v>20</x:v>
      </x:c>
      <x:c r="C23" t="str">
        <x:v>Xi'an</x:v>
      </x:c>
      <x:c r="D23" t="str">
        <x:v>Shanghai</x:v>
      </x:c>
      <x:c r="E23" t="str">
        <x:v>rail</x:v>
      </x:c>
      <x:c r="F23" s="22" t="n">
        <x:v>806</x:v>
      </x:c>
      <x:c r="G23" s="22" t="n">
        <x:v>836.4</x:v>
      </x:c>
      <x:c r="H23" t="n">
        <x:v>5</x:v>
      </x:c>
    </x:row>
    <x:row r="24">
      <x:c r="A24" t="str">
        <x:v>TT-CN-01</x:v>
      </x:c>
      <x:c r="B24" t="n">
        <x:v>21</x:v>
      </x:c>
      <x:c r="C24" t="str">
        <x:v>Xi'an</x:v>
      </x:c>
      <x:c r="D24" t="str">
        <x:v>Shanghai</x:v>
      </x:c>
      <x:c r="E24" t="str">
        <x:v>rail</x:v>
      </x:c>
      <x:c r="F24" s="22" t="n">
        <x:v>848</x:v>
      </x:c>
      <x:c r="G24" s="22" t="n">
        <x:v>878.4</x:v>
      </x:c>
      <x:c r="H24" t="n">
        <x:v>6</x:v>
      </x:c>
    </x:row>
    <x:row r="25">
      <x:c r="A25" t="str">
        <x:v>TT-CN-01</x:v>
      </x:c>
      <x:c r="B25" t="n">
        <x:v>22</x:v>
      </x:c>
      <x:c r="C25" t="str">
        <x:v>Xi'an</x:v>
      </x:c>
      <x:c r="D25" t="str">
        <x:v>Shanghai</x:v>
      </x:c>
      <x:c r="E25" t="str">
        <x:v>rail</x:v>
      </x:c>
      <x:c r="F25" s="22" t="n">
        <x:v>890</x:v>
      </x:c>
      <x:c r="G25" s="22" t="n">
        <x:v>920.4</x:v>
      </x:c>
      <x:c r="H25" t="n">
        <x:v>6</x:v>
      </x:c>
    </x:row>
    <x:row r="26">
      <x:c r="A26" t="str">
        <x:v>TT-CN-01</x:v>
      </x:c>
      <x:c r="B26" t="n">
        <x:v>23</x:v>
      </x:c>
      <x:c r="C26" t="str">
        <x:v>Xi'an</x:v>
      </x:c>
      <x:c r="D26" t="str">
        <x:v>Shanghai</x:v>
      </x:c>
      <x:c r="E26" t="str">
        <x:v>rail</x:v>
      </x:c>
      <x:c r="F26" s="22" t="n">
        <x:v>932</x:v>
      </x:c>
      <x:c r="G26" s="22" t="n">
        <x:v>962.4</x:v>
      </x:c>
      <x:c r="H26" t="n">
        <x:v>6</x:v>
      </x:c>
    </x:row>
    <x:row r="27">
      <x:c r="A27" t="str">
        <x:v>TT-CN-01</x:v>
      </x:c>
      <x:c r="B27" t="n">
        <x:v>24</x:v>
      </x:c>
      <x:c r="C27" t="str">
        <x:v>Xi'an</x:v>
      </x:c>
      <x:c r="D27" t="str">
        <x:v>Shanghai</x:v>
      </x:c>
      <x:c r="E27" t="str">
        <x:v>rail</x:v>
      </x:c>
      <x:c r="F27" s="22" t="n">
        <x:v>974</x:v>
      </x:c>
      <x:c r="G27" s="22" t="n">
        <x:v>1004.4</x:v>
      </x:c>
      <x:c r="H27" t="n">
        <x:v>6</x:v>
      </x:c>
    </x:row>
    <x:row r="28">
      <x:c r="A28" t="str">
        <x:v>TT-CN-01</x:v>
      </x:c>
      <x:c r="B28" t="n">
        <x:v>25</x:v>
      </x:c>
      <x:c r="C28" t="str">
        <x:v>Xi'an</x:v>
      </x:c>
      <x:c r="D28" t="str">
        <x:v>Shanghai</x:v>
      </x:c>
      <x:c r="E28" t="str">
        <x:v>rail</x:v>
      </x:c>
      <x:c r="F28" s="22" t="n">
        <x:v>1016</x:v>
      </x:c>
      <x:c r="G28" s="22" t="n">
        <x:v>1046.4</x:v>
      </x:c>
      <x:c r="H28" t="n">
        <x:v>7</x:v>
      </x:c>
    </x:row>
    <x:row r="29">
      <x:c r="A29" t="str">
        <x:v>TT-CN-01</x:v>
      </x:c>
      <x:c r="B29" t="n">
        <x:v>26</x:v>
      </x:c>
      <x:c r="C29" t="str">
        <x:v>Xi'an</x:v>
      </x:c>
      <x:c r="D29" t="str">
        <x:v>Shanghai</x:v>
      </x:c>
      <x:c r="E29" t="str">
        <x:v>rail</x:v>
      </x:c>
      <x:c r="F29" s="22" t="n">
        <x:v>1058</x:v>
      </x:c>
      <x:c r="G29" s="22" t="n">
        <x:v>1088.4</x:v>
      </x:c>
      <x:c r="H29" t="n">
        <x:v>7</x:v>
      </x:c>
    </x:row>
    <x:row r="30">
      <x:c r="A30" t="str">
        <x:v>TT-CN-01</x:v>
      </x:c>
      <x:c r="B30" t="n">
        <x:v>27</x:v>
      </x:c>
      <x:c r="C30" t="str">
        <x:v>Xi'an</x:v>
      </x:c>
      <x:c r="D30" t="str">
        <x:v>Shanghai</x:v>
      </x:c>
      <x:c r="E30" t="str">
        <x:v>rail</x:v>
      </x:c>
      <x:c r="F30" s="22" t="n">
        <x:v>1100</x:v>
      </x:c>
      <x:c r="G30" s="22" t="n">
        <x:v>1130.4</x:v>
      </x:c>
      <x:c r="H30" t="n">
        <x:v>7</x:v>
      </x:c>
    </x:row>
    <x:row r="31">
      <x:c r="A31" t="str">
        <x:v>TT-CN-01</x:v>
      </x:c>
      <x:c r="B31" t="n">
        <x:v>28</x:v>
      </x:c>
      <x:c r="C31" t="str">
        <x:v>Xi'an</x:v>
      </x:c>
      <x:c r="D31" t="str">
        <x:v>Shanghai</x:v>
      </x:c>
      <x:c r="E31" t="str">
        <x:v>rail</x:v>
      </x:c>
      <x:c r="F31" s="22" t="n">
        <x:v>1142</x:v>
      </x:c>
      <x:c r="G31" s="22" t="n">
        <x:v>1172.4</x:v>
      </x:c>
      <x:c r="H31" t="n">
        <x:v>7</x:v>
      </x:c>
    </x:row>
    <x:row r="32">
      <x:c r="A32" t="str">
        <x:v>TT-CN-01</x:v>
      </x:c>
      <x:c r="B32" t="n">
        <x:v>29</x:v>
      </x:c>
      <x:c r="C32" t="str">
        <x:v>Xi'an</x:v>
      </x:c>
      <x:c r="D32" t="str">
        <x:v>Shanghai</x:v>
      </x:c>
      <x:c r="E32" t="str">
        <x:v>rail</x:v>
      </x:c>
      <x:c r="F32" s="22" t="n">
        <x:v>1184</x:v>
      </x:c>
      <x:c r="G32" s="22" t="n">
        <x:v>1214.4</x:v>
      </x:c>
      <x:c r="H32" t="n">
        <x:v>8</x:v>
      </x:c>
    </x:row>
    <x:row r="33">
      <x:c r="A33" t="str">
        <x:v>TT-CN-01</x:v>
      </x:c>
      <x:c r="B33" t="n">
        <x:v>30</x:v>
      </x:c>
      <x:c r="C33" t="str">
        <x:v>Xi'an</x:v>
      </x:c>
      <x:c r="D33" t="str">
        <x:v>Shanghai</x:v>
      </x:c>
      <x:c r="E33" t="str">
        <x:v>rail</x:v>
      </x:c>
      <x:c r="F33" s="22" t="n">
        <x:v>1226</x:v>
      </x:c>
      <x:c r="G33" s="22" t="n">
        <x:v>1256.4</x:v>
      </x:c>
      <x:c r="H33" t="n">
        <x:v>8</x:v>
      </x:c>
    </x:row>
    <x:row r="34">
      <x:c r="A34" t="str">
        <x:v>TT-CN-01</x:v>
      </x:c>
      <x:c r="B34" t="n">
        <x:v>31</x:v>
      </x:c>
      <x:c r="C34" t="str">
        <x:v>Xi'an</x:v>
      </x:c>
      <x:c r="D34" t="str">
        <x:v>Shanghai</x:v>
      </x:c>
      <x:c r="E34" t="str">
        <x:v>rail</x:v>
      </x:c>
      <x:c r="F34" s="22" t="n">
        <x:v>1268</x:v>
      </x:c>
      <x:c r="G34" s="22" t="n">
        <x:v>1298.4</x:v>
      </x:c>
      <x:c r="H34" t="n">
        <x:v>8</x:v>
      </x:c>
    </x:row>
    <x:row r="35">
      <x:c r="A35" t="str">
        <x:v>TT-CN-01</x:v>
      </x:c>
      <x:c r="B35" t="n">
        <x:v>32</x:v>
      </x:c>
      <x:c r="C35" t="str">
        <x:v>Xi'an</x:v>
      </x:c>
      <x:c r="D35" t="str">
        <x:v>Shanghai</x:v>
      </x:c>
      <x:c r="E35" t="str">
        <x:v>rail</x:v>
      </x:c>
      <x:c r="F35" s="22" t="n">
        <x:v>1310</x:v>
      </x:c>
      <x:c r="G35" s="22" t="n">
        <x:v>1340.4</x:v>
      </x:c>
      <x:c r="H35" t="n">
        <x:v>8</x:v>
      </x:c>
    </x:row>
    <x:row r="36">
      <x:c r="A36" t="str">
        <x:v>TT-CN-02</x:v>
      </x:c>
      <x:c r="B36" t="n">
        <x:v>1</x:v>
      </x:c>
      <x:c r="C36" t="str">
        <x:v>Xi'an</x:v>
      </x:c>
      <x:c r="D36" t="str">
        <x:v>Ningbo</x:v>
      </x:c>
      <x:c r="E36" t="str">
        <x:v>rail</x:v>
      </x:c>
      <x:c r="F36" s="22" t="n">
        <x:v>8</x:v>
      </x:c>
      <x:c r="G36" s="22" t="n">
        <x:v>40.1</x:v>
      </x:c>
      <x:c r="H36" t="n">
        <x:v>1</x:v>
      </x:c>
    </x:row>
    <x:row r="37">
      <x:c r="A37" t="str">
        <x:v>TT-CN-02</x:v>
      </x:c>
      <x:c r="B37" t="n">
        <x:v>2</x:v>
      </x:c>
      <x:c r="C37" t="str">
        <x:v>Xi'an</x:v>
      </x:c>
      <x:c r="D37" t="str">
        <x:v>Ningbo</x:v>
      </x:c>
      <x:c r="E37" t="str">
        <x:v>rail</x:v>
      </x:c>
      <x:c r="F37" s="22" t="n">
        <x:v>50</x:v>
      </x:c>
      <x:c r="G37" s="22" t="n">
        <x:v>82.1</x:v>
      </x:c>
      <x:c r="H37" t="n">
        <x:v>1</x:v>
      </x:c>
    </x:row>
    <x:row r="38">
      <x:c r="A38" t="str">
        <x:v>TT-CN-02</x:v>
      </x:c>
      <x:c r="B38" t="n">
        <x:v>3</x:v>
      </x:c>
      <x:c r="C38" t="str">
        <x:v>Xi'an</x:v>
      </x:c>
      <x:c r="D38" t="str">
        <x:v>Ningbo</x:v>
      </x:c>
      <x:c r="E38" t="str">
        <x:v>rail</x:v>
      </x:c>
      <x:c r="F38" s="22" t="n">
        <x:v>92</x:v>
      </x:c>
      <x:c r="G38" s="22" t="n">
        <x:v>124.1</x:v>
      </x:c>
      <x:c r="H38" t="n">
        <x:v>1</x:v>
      </x:c>
    </x:row>
    <x:row r="39">
      <x:c r="A39" t="str">
        <x:v>TT-CN-02</x:v>
      </x:c>
      <x:c r="B39" t="n">
        <x:v>4</x:v>
      </x:c>
      <x:c r="C39" t="str">
        <x:v>Xi'an</x:v>
      </x:c>
      <x:c r="D39" t="str">
        <x:v>Ningbo</x:v>
      </x:c>
      <x:c r="E39" t="str">
        <x:v>rail</x:v>
      </x:c>
      <x:c r="F39" s="22" t="n">
        <x:v>134</x:v>
      </x:c>
      <x:c r="G39" s="22" t="n">
        <x:v>166.1</x:v>
      </x:c>
      <x:c r="H39" t="n">
        <x:v>1</x:v>
      </x:c>
    </x:row>
    <x:row r="40">
      <x:c r="A40" t="str">
        <x:v>TT-CN-02</x:v>
      </x:c>
      <x:c r="B40" t="n">
        <x:v>5</x:v>
      </x:c>
      <x:c r="C40" t="str">
        <x:v>Xi'an</x:v>
      </x:c>
      <x:c r="D40" t="str">
        <x:v>Ningbo</x:v>
      </x:c>
      <x:c r="E40" t="str">
        <x:v>rail</x:v>
      </x:c>
      <x:c r="F40" s="22" t="n">
        <x:v>176</x:v>
      </x:c>
      <x:c r="G40" s="22" t="n">
        <x:v>208.1</x:v>
      </x:c>
      <x:c r="H40" t="n">
        <x:v>2</x:v>
      </x:c>
    </x:row>
    <x:row r="41">
      <x:c r="A41" t="str">
        <x:v>TT-CN-02</x:v>
      </x:c>
      <x:c r="B41" t="n">
        <x:v>6</x:v>
      </x:c>
      <x:c r="C41" t="str">
        <x:v>Xi'an</x:v>
      </x:c>
      <x:c r="D41" t="str">
        <x:v>Ningbo</x:v>
      </x:c>
      <x:c r="E41" t="str">
        <x:v>rail</x:v>
      </x:c>
      <x:c r="F41" s="22" t="n">
        <x:v>218</x:v>
      </x:c>
      <x:c r="G41" s="22" t="n">
        <x:v>250.1</x:v>
      </x:c>
      <x:c r="H41" t="n">
        <x:v>2</x:v>
      </x:c>
    </x:row>
    <x:row r="42">
      <x:c r="A42" t="str">
        <x:v>TT-CN-02</x:v>
      </x:c>
      <x:c r="B42" t="n">
        <x:v>7</x:v>
      </x:c>
      <x:c r="C42" t="str">
        <x:v>Xi'an</x:v>
      </x:c>
      <x:c r="D42" t="str">
        <x:v>Ningbo</x:v>
      </x:c>
      <x:c r="E42" t="str">
        <x:v>rail</x:v>
      </x:c>
      <x:c r="F42" s="22" t="n">
        <x:v>260</x:v>
      </x:c>
      <x:c r="G42" s="22" t="n">
        <x:v>292.1</x:v>
      </x:c>
      <x:c r="H42" t="n">
        <x:v>2</x:v>
      </x:c>
    </x:row>
    <x:row r="43">
      <x:c r="A43" t="str">
        <x:v>TT-CN-02</x:v>
      </x:c>
      <x:c r="B43" t="n">
        <x:v>8</x:v>
      </x:c>
      <x:c r="C43" t="str">
        <x:v>Xi'an</x:v>
      </x:c>
      <x:c r="D43" t="str">
        <x:v>Ningbo</x:v>
      </x:c>
      <x:c r="E43" t="str">
        <x:v>rail</x:v>
      </x:c>
      <x:c r="F43" s="22" t="n">
        <x:v>302</x:v>
      </x:c>
      <x:c r="G43" s="22" t="n">
        <x:v>334.1</x:v>
      </x:c>
      <x:c r="H43" t="n">
        <x:v>2</x:v>
      </x:c>
    </x:row>
    <x:row r="44">
      <x:c r="A44" t="str">
        <x:v>TT-CN-02</x:v>
      </x:c>
      <x:c r="B44" t="n">
        <x:v>9</x:v>
      </x:c>
      <x:c r="C44" t="str">
        <x:v>Xi'an</x:v>
      </x:c>
      <x:c r="D44" t="str">
        <x:v>Ningbo</x:v>
      </x:c>
      <x:c r="E44" t="str">
        <x:v>rail</x:v>
      </x:c>
      <x:c r="F44" s="22" t="n">
        <x:v>344</x:v>
      </x:c>
      <x:c r="G44" s="22" t="n">
        <x:v>376.1</x:v>
      </x:c>
      <x:c r="H44" t="n">
        <x:v>3</x:v>
      </x:c>
    </x:row>
    <x:row r="45">
      <x:c r="A45" t="str">
        <x:v>TT-CN-02</x:v>
      </x:c>
      <x:c r="B45" t="n">
        <x:v>10</x:v>
      </x:c>
      <x:c r="C45" t="str">
        <x:v>Xi'an</x:v>
      </x:c>
      <x:c r="D45" t="str">
        <x:v>Ningbo</x:v>
      </x:c>
      <x:c r="E45" t="str">
        <x:v>rail</x:v>
      </x:c>
      <x:c r="F45" s="22" t="n">
        <x:v>386</x:v>
      </x:c>
      <x:c r="G45" s="22" t="n">
        <x:v>418.1</x:v>
      </x:c>
      <x:c r="H45" t="n">
        <x:v>3</x:v>
      </x:c>
    </x:row>
    <x:row r="46">
      <x:c r="A46" t="str">
        <x:v>TT-CN-02</x:v>
      </x:c>
      <x:c r="B46" t="n">
        <x:v>11</x:v>
      </x:c>
      <x:c r="C46" t="str">
        <x:v>Xi'an</x:v>
      </x:c>
      <x:c r="D46" t="str">
        <x:v>Ningbo</x:v>
      </x:c>
      <x:c r="E46" t="str">
        <x:v>rail</x:v>
      </x:c>
      <x:c r="F46" s="22" t="n">
        <x:v>428</x:v>
      </x:c>
      <x:c r="G46" s="22" t="n">
        <x:v>460.1</x:v>
      </x:c>
      <x:c r="H46" t="n">
        <x:v>3</x:v>
      </x:c>
    </x:row>
    <x:row r="47">
      <x:c r="A47" t="str">
        <x:v>TT-CN-02</x:v>
      </x:c>
      <x:c r="B47" t="n">
        <x:v>12</x:v>
      </x:c>
      <x:c r="C47" t="str">
        <x:v>Xi'an</x:v>
      </x:c>
      <x:c r="D47" t="str">
        <x:v>Ningbo</x:v>
      </x:c>
      <x:c r="E47" t="str">
        <x:v>rail</x:v>
      </x:c>
      <x:c r="F47" s="22" t="n">
        <x:v>470</x:v>
      </x:c>
      <x:c r="G47" s="22" t="n">
        <x:v>502.1</x:v>
      </x:c>
      <x:c r="H47" t="n">
        <x:v>3</x:v>
      </x:c>
    </x:row>
    <x:row r="48">
      <x:c r="A48" t="str">
        <x:v>TT-CN-02</x:v>
      </x:c>
      <x:c r="B48" t="n">
        <x:v>13</x:v>
      </x:c>
      <x:c r="C48" t="str">
        <x:v>Xi'an</x:v>
      </x:c>
      <x:c r="D48" t="str">
        <x:v>Ningbo</x:v>
      </x:c>
      <x:c r="E48" t="str">
        <x:v>rail</x:v>
      </x:c>
      <x:c r="F48" s="22" t="n">
        <x:v>512</x:v>
      </x:c>
      <x:c r="G48" s="22" t="n">
        <x:v>544.1</x:v>
      </x:c>
      <x:c r="H48" t="n">
        <x:v>4</x:v>
      </x:c>
    </x:row>
    <x:row r="49">
      <x:c r="A49" t="str">
        <x:v>TT-CN-02</x:v>
      </x:c>
      <x:c r="B49" t="n">
        <x:v>14</x:v>
      </x:c>
      <x:c r="C49" t="str">
        <x:v>Xi'an</x:v>
      </x:c>
      <x:c r="D49" t="str">
        <x:v>Ningbo</x:v>
      </x:c>
      <x:c r="E49" t="str">
        <x:v>rail</x:v>
      </x:c>
      <x:c r="F49" s="22" t="n">
        <x:v>554</x:v>
      </x:c>
      <x:c r="G49" s="22" t="n">
        <x:v>586.1</x:v>
      </x:c>
      <x:c r="H49" t="n">
        <x:v>4</x:v>
      </x:c>
    </x:row>
    <x:row r="50">
      <x:c r="A50" t="str">
        <x:v>TT-CN-02</x:v>
      </x:c>
      <x:c r="B50" t="n">
        <x:v>15</x:v>
      </x:c>
      <x:c r="C50" t="str">
        <x:v>Xi'an</x:v>
      </x:c>
      <x:c r="D50" t="str">
        <x:v>Ningbo</x:v>
      </x:c>
      <x:c r="E50" t="str">
        <x:v>rail</x:v>
      </x:c>
      <x:c r="F50" s="22" t="n">
        <x:v>596</x:v>
      </x:c>
      <x:c r="G50" s="22" t="n">
        <x:v>628.1</x:v>
      </x:c>
      <x:c r="H50" t="n">
        <x:v>4</x:v>
      </x:c>
    </x:row>
    <x:row r="51">
      <x:c r="A51" t="str">
        <x:v>TT-CN-02</x:v>
      </x:c>
      <x:c r="B51" t="n">
        <x:v>16</x:v>
      </x:c>
      <x:c r="C51" t="str">
        <x:v>Xi'an</x:v>
      </x:c>
      <x:c r="D51" t="str">
        <x:v>Ningbo</x:v>
      </x:c>
      <x:c r="E51" t="str">
        <x:v>rail</x:v>
      </x:c>
      <x:c r="F51" s="22" t="n">
        <x:v>638</x:v>
      </x:c>
      <x:c r="G51" s="22" t="n">
        <x:v>670.1</x:v>
      </x:c>
      <x:c r="H51" t="n">
        <x:v>4</x:v>
      </x:c>
    </x:row>
    <x:row r="52">
      <x:c r="A52" t="str">
        <x:v>TT-CN-02</x:v>
      </x:c>
      <x:c r="B52" t="n">
        <x:v>17</x:v>
      </x:c>
      <x:c r="C52" t="str">
        <x:v>Xi'an</x:v>
      </x:c>
      <x:c r="D52" t="str">
        <x:v>Ningbo</x:v>
      </x:c>
      <x:c r="E52" t="str">
        <x:v>rail</x:v>
      </x:c>
      <x:c r="F52" s="22" t="n">
        <x:v>680</x:v>
      </x:c>
      <x:c r="G52" s="22" t="n">
        <x:v>712.1</x:v>
      </x:c>
      <x:c r="H52" t="n">
        <x:v>5</x:v>
      </x:c>
    </x:row>
    <x:row r="53">
      <x:c r="A53" t="str">
        <x:v>TT-CN-02</x:v>
      </x:c>
      <x:c r="B53" t="n">
        <x:v>18</x:v>
      </x:c>
      <x:c r="C53" t="str">
        <x:v>Xi'an</x:v>
      </x:c>
      <x:c r="D53" t="str">
        <x:v>Ningbo</x:v>
      </x:c>
      <x:c r="E53" t="str">
        <x:v>rail</x:v>
      </x:c>
      <x:c r="F53" s="22" t="n">
        <x:v>722</x:v>
      </x:c>
      <x:c r="G53" s="22" t="n">
        <x:v>754.1</x:v>
      </x:c>
      <x:c r="H53" t="n">
        <x:v>5</x:v>
      </x:c>
    </x:row>
    <x:row r="54">
      <x:c r="A54" t="str">
        <x:v>TT-CN-02</x:v>
      </x:c>
      <x:c r="B54" t="n">
        <x:v>19</x:v>
      </x:c>
      <x:c r="C54" t="str">
        <x:v>Xi'an</x:v>
      </x:c>
      <x:c r="D54" t="str">
        <x:v>Ningbo</x:v>
      </x:c>
      <x:c r="E54" t="str">
        <x:v>rail</x:v>
      </x:c>
      <x:c r="F54" s="22" t="n">
        <x:v>764</x:v>
      </x:c>
      <x:c r="G54" s="22" t="n">
        <x:v>796.1</x:v>
      </x:c>
      <x:c r="H54" t="n">
        <x:v>5</x:v>
      </x:c>
    </x:row>
    <x:row r="55">
      <x:c r="A55" t="str">
        <x:v>TT-CN-02</x:v>
      </x:c>
      <x:c r="B55" t="n">
        <x:v>20</x:v>
      </x:c>
      <x:c r="C55" t="str">
        <x:v>Xi'an</x:v>
      </x:c>
      <x:c r="D55" t="str">
        <x:v>Ningbo</x:v>
      </x:c>
      <x:c r="E55" t="str">
        <x:v>rail</x:v>
      </x:c>
      <x:c r="F55" s="22" t="n">
        <x:v>806</x:v>
      </x:c>
      <x:c r="G55" s="22" t="n">
        <x:v>838.1</x:v>
      </x:c>
      <x:c r="H55" t="n">
        <x:v>5</x:v>
      </x:c>
    </x:row>
    <x:row r="56">
      <x:c r="A56" t="str">
        <x:v>TT-CN-02</x:v>
      </x:c>
      <x:c r="B56" t="n">
        <x:v>21</x:v>
      </x:c>
      <x:c r="C56" t="str">
        <x:v>Xi'an</x:v>
      </x:c>
      <x:c r="D56" t="str">
        <x:v>Ningbo</x:v>
      </x:c>
      <x:c r="E56" t="str">
        <x:v>rail</x:v>
      </x:c>
      <x:c r="F56" s="22" t="n">
        <x:v>848</x:v>
      </x:c>
      <x:c r="G56" s="22" t="n">
        <x:v>880.1</x:v>
      </x:c>
      <x:c r="H56" t="n">
        <x:v>6</x:v>
      </x:c>
    </x:row>
    <x:row r="57">
      <x:c r="A57" t="str">
        <x:v>TT-CN-02</x:v>
      </x:c>
      <x:c r="B57" t="n">
        <x:v>22</x:v>
      </x:c>
      <x:c r="C57" t="str">
        <x:v>Xi'an</x:v>
      </x:c>
      <x:c r="D57" t="str">
        <x:v>Ningbo</x:v>
      </x:c>
      <x:c r="E57" t="str">
        <x:v>rail</x:v>
      </x:c>
      <x:c r="F57" s="22" t="n">
        <x:v>890</x:v>
      </x:c>
      <x:c r="G57" s="22" t="n">
        <x:v>922.1</x:v>
      </x:c>
      <x:c r="H57" t="n">
        <x:v>6</x:v>
      </x:c>
    </x:row>
    <x:row r="58">
      <x:c r="A58" t="str">
        <x:v>TT-CN-02</x:v>
      </x:c>
      <x:c r="B58" t="n">
        <x:v>23</x:v>
      </x:c>
      <x:c r="C58" t="str">
        <x:v>Xi'an</x:v>
      </x:c>
      <x:c r="D58" t="str">
        <x:v>Ningbo</x:v>
      </x:c>
      <x:c r="E58" t="str">
        <x:v>rail</x:v>
      </x:c>
      <x:c r="F58" s="22" t="n">
        <x:v>932</x:v>
      </x:c>
      <x:c r="G58" s="22" t="n">
        <x:v>964.1</x:v>
      </x:c>
      <x:c r="H58" t="n">
        <x:v>6</x:v>
      </x:c>
    </x:row>
    <x:row r="59">
      <x:c r="A59" t="str">
        <x:v>TT-CN-02</x:v>
      </x:c>
      <x:c r="B59" t="n">
        <x:v>24</x:v>
      </x:c>
      <x:c r="C59" t="str">
        <x:v>Xi'an</x:v>
      </x:c>
      <x:c r="D59" t="str">
        <x:v>Ningbo</x:v>
      </x:c>
      <x:c r="E59" t="str">
        <x:v>rail</x:v>
      </x:c>
      <x:c r="F59" s="22" t="n">
        <x:v>974</x:v>
      </x:c>
      <x:c r="G59" s="22" t="n">
        <x:v>1006.1</x:v>
      </x:c>
      <x:c r="H59" t="n">
        <x:v>6</x:v>
      </x:c>
    </x:row>
    <x:row r="60">
      <x:c r="A60" t="str">
        <x:v>TT-CN-02</x:v>
      </x:c>
      <x:c r="B60" t="n">
        <x:v>25</x:v>
      </x:c>
      <x:c r="C60" t="str">
        <x:v>Xi'an</x:v>
      </x:c>
      <x:c r="D60" t="str">
        <x:v>Ningbo</x:v>
      </x:c>
      <x:c r="E60" t="str">
        <x:v>rail</x:v>
      </x:c>
      <x:c r="F60" s="22" t="n">
        <x:v>1016</x:v>
      </x:c>
      <x:c r="G60" s="22" t="n">
        <x:v>1048.1</x:v>
      </x:c>
      <x:c r="H60" t="n">
        <x:v>7</x:v>
      </x:c>
    </x:row>
    <x:row r="61">
      <x:c r="A61" t="str">
        <x:v>TT-CN-02</x:v>
      </x:c>
      <x:c r="B61" t="n">
        <x:v>26</x:v>
      </x:c>
      <x:c r="C61" t="str">
        <x:v>Xi'an</x:v>
      </x:c>
      <x:c r="D61" t="str">
        <x:v>Ningbo</x:v>
      </x:c>
      <x:c r="E61" t="str">
        <x:v>rail</x:v>
      </x:c>
      <x:c r="F61" s="22" t="n">
        <x:v>1058</x:v>
      </x:c>
      <x:c r="G61" s="22" t="n">
        <x:v>1090.1</x:v>
      </x:c>
      <x:c r="H61" t="n">
        <x:v>7</x:v>
      </x:c>
    </x:row>
    <x:row r="62">
      <x:c r="A62" t="str">
        <x:v>TT-CN-02</x:v>
      </x:c>
      <x:c r="B62" t="n">
        <x:v>27</x:v>
      </x:c>
      <x:c r="C62" t="str">
        <x:v>Xi'an</x:v>
      </x:c>
      <x:c r="D62" t="str">
        <x:v>Ningbo</x:v>
      </x:c>
      <x:c r="E62" t="str">
        <x:v>rail</x:v>
      </x:c>
      <x:c r="F62" s="22" t="n">
        <x:v>1100</x:v>
      </x:c>
      <x:c r="G62" s="22" t="n">
        <x:v>1132.1</x:v>
      </x:c>
      <x:c r="H62" t="n">
        <x:v>7</x:v>
      </x:c>
    </x:row>
    <x:row r="63">
      <x:c r="A63" t="str">
        <x:v>TT-CN-02</x:v>
      </x:c>
      <x:c r="B63" t="n">
        <x:v>28</x:v>
      </x:c>
      <x:c r="C63" t="str">
        <x:v>Xi'an</x:v>
      </x:c>
      <x:c r="D63" t="str">
        <x:v>Ningbo</x:v>
      </x:c>
      <x:c r="E63" t="str">
        <x:v>rail</x:v>
      </x:c>
      <x:c r="F63" s="22" t="n">
        <x:v>1142</x:v>
      </x:c>
      <x:c r="G63" s="22" t="n">
        <x:v>1174.1</x:v>
      </x:c>
      <x:c r="H63" t="n">
        <x:v>7</x:v>
      </x:c>
    </x:row>
    <x:row r="64">
      <x:c r="A64" t="str">
        <x:v>TT-CN-02</x:v>
      </x:c>
      <x:c r="B64" t="n">
        <x:v>29</x:v>
      </x:c>
      <x:c r="C64" t="str">
        <x:v>Xi'an</x:v>
      </x:c>
      <x:c r="D64" t="str">
        <x:v>Ningbo</x:v>
      </x:c>
      <x:c r="E64" t="str">
        <x:v>rail</x:v>
      </x:c>
      <x:c r="F64" s="22" t="n">
        <x:v>1184</x:v>
      </x:c>
      <x:c r="G64" s="22" t="n">
        <x:v>1216.1</x:v>
      </x:c>
      <x:c r="H64" t="n">
        <x:v>8</x:v>
      </x:c>
    </x:row>
    <x:row r="65">
      <x:c r="A65" t="str">
        <x:v>TT-CN-02</x:v>
      </x:c>
      <x:c r="B65" t="n">
        <x:v>30</x:v>
      </x:c>
      <x:c r="C65" t="str">
        <x:v>Xi'an</x:v>
      </x:c>
      <x:c r="D65" t="str">
        <x:v>Ningbo</x:v>
      </x:c>
      <x:c r="E65" t="str">
        <x:v>rail</x:v>
      </x:c>
      <x:c r="F65" s="22" t="n">
        <x:v>1226</x:v>
      </x:c>
      <x:c r="G65" s="22" t="n">
        <x:v>1258.1</x:v>
      </x:c>
      <x:c r="H65" t="n">
        <x:v>8</x:v>
      </x:c>
    </x:row>
    <x:row r="66">
      <x:c r="A66" t="str">
        <x:v>TT-CN-02</x:v>
      </x:c>
      <x:c r="B66" t="n">
        <x:v>31</x:v>
      </x:c>
      <x:c r="C66" t="str">
        <x:v>Xi'an</x:v>
      </x:c>
      <x:c r="D66" t="str">
        <x:v>Ningbo</x:v>
      </x:c>
      <x:c r="E66" t="str">
        <x:v>rail</x:v>
      </x:c>
      <x:c r="F66" s="22" t="n">
        <x:v>1268</x:v>
      </x:c>
      <x:c r="G66" s="22" t="n">
        <x:v>1300.1</x:v>
      </x:c>
      <x:c r="H66" t="n">
        <x:v>8</x:v>
      </x:c>
    </x:row>
    <x:row r="67">
      <x:c r="A67" t="str">
        <x:v>TT-CN-02</x:v>
      </x:c>
      <x:c r="B67" t="n">
        <x:v>32</x:v>
      </x:c>
      <x:c r="C67" t="str">
        <x:v>Xi'an</x:v>
      </x:c>
      <x:c r="D67" t="str">
        <x:v>Ningbo</x:v>
      </x:c>
      <x:c r="E67" t="str">
        <x:v>rail</x:v>
      </x:c>
      <x:c r="F67" s="22" t="n">
        <x:v>1310</x:v>
      </x:c>
      <x:c r="G67" s="22" t="n">
        <x:v>1342.1</x:v>
      </x:c>
      <x:c r="H67" t="n">
        <x:v>8</x:v>
      </x:c>
    </x:row>
    <x:row r="68">
      <x:c r="A68" t="str">
        <x:v>TT-SEA-01</x:v>
      </x:c>
      <x:c r="B68" t="n">
        <x:v>1</x:v>
      </x:c>
      <x:c r="C68" t="str">
        <x:v>Shanghai</x:v>
      </x:c>
      <x:c r="D68" t="str">
        <x:v>Los Angeles/Long Beach</x:v>
      </x:c>
      <x:c r="E68" t="str">
        <x:v>water</x:v>
      </x:c>
      <x:c r="F68" s="22" t="n">
        <x:v>24</x:v>
      </x:c>
      <x:c r="G68" s="22" t="n">
        <x:v>360</x:v>
      </x:c>
      <x:c r="H68" t="n">
        <x:v>1</x:v>
      </x:c>
    </x:row>
    <x:row r="69">
      <x:c r="A69" t="str">
        <x:v>TT-SEA-01</x:v>
      </x:c>
      <x:c r="B69" t="n">
        <x:v>2</x:v>
      </x:c>
      <x:c r="C69" t="str">
        <x:v>Shanghai</x:v>
      </x:c>
      <x:c r="D69" t="str">
        <x:v>Los Angeles/Long Beach</x:v>
      </x:c>
      <x:c r="E69" t="str">
        <x:v>water</x:v>
      </x:c>
      <x:c r="F69" s="22" t="n">
        <x:v>192</x:v>
      </x:c>
      <x:c r="G69" s="22" t="n">
        <x:v>528</x:v>
      </x:c>
      <x:c r="H69" t="n">
        <x:v>2</x:v>
      </x:c>
    </x:row>
    <x:row r="70">
      <x:c r="A70" t="str">
        <x:v>TT-SEA-01</x:v>
      </x:c>
      <x:c r="B70" t="n">
        <x:v>3</x:v>
      </x:c>
      <x:c r="C70" t="str">
        <x:v>Shanghai</x:v>
      </x:c>
      <x:c r="D70" t="str">
        <x:v>Los Angeles/Long Beach</x:v>
      </x:c>
      <x:c r="E70" t="str">
        <x:v>water</x:v>
      </x:c>
      <x:c r="F70" s="22" t="n">
        <x:v>360</x:v>
      </x:c>
      <x:c r="G70" s="22" t="n">
        <x:v>696</x:v>
      </x:c>
      <x:c r="H70" t="n">
        <x:v>3</x:v>
      </x:c>
    </x:row>
    <x:row r="71">
      <x:c r="A71" t="str">
        <x:v>TT-SEA-01</x:v>
      </x:c>
      <x:c r="B71" t="n">
        <x:v>4</x:v>
      </x:c>
      <x:c r="C71" t="str">
        <x:v>Shanghai</x:v>
      </x:c>
      <x:c r="D71" t="str">
        <x:v>Los Angeles/Long Beach</x:v>
      </x:c>
      <x:c r="E71" t="str">
        <x:v>water</x:v>
      </x:c>
      <x:c r="F71" s="22" t="n">
        <x:v>528</x:v>
      </x:c>
      <x:c r="G71" s="22" t="n">
        <x:v>864</x:v>
      </x:c>
      <x:c r="H71" t="n">
        <x:v>4</x:v>
      </x:c>
    </x:row>
    <x:row r="72">
      <x:c r="A72" t="str">
        <x:v>TT-SEA-01</x:v>
      </x:c>
      <x:c r="B72" t="n">
        <x:v>5</x:v>
      </x:c>
      <x:c r="C72" t="str">
        <x:v>Shanghai</x:v>
      </x:c>
      <x:c r="D72" t="str">
        <x:v>Los Angeles/Long Beach</x:v>
      </x:c>
      <x:c r="E72" t="str">
        <x:v>water</x:v>
      </x:c>
      <x:c r="F72" s="22" t="n">
        <x:v>696</x:v>
      </x:c>
      <x:c r="G72" s="22" t="n">
        <x:v>1032</x:v>
      </x:c>
      <x:c r="H72" t="n">
        <x:v>5</x:v>
      </x:c>
    </x:row>
    <x:row r="73">
      <x:c r="A73" t="str">
        <x:v>TT-SEA-01</x:v>
      </x:c>
      <x:c r="B73" t="n">
        <x:v>6</x:v>
      </x:c>
      <x:c r="C73" t="str">
        <x:v>Shanghai</x:v>
      </x:c>
      <x:c r="D73" t="str">
        <x:v>Los Angeles/Long Beach</x:v>
      </x:c>
      <x:c r="E73" t="str">
        <x:v>water</x:v>
      </x:c>
      <x:c r="F73" s="22" t="n">
        <x:v>864</x:v>
      </x:c>
      <x:c r="G73" s="22" t="n">
        <x:v>1200</x:v>
      </x:c>
      <x:c r="H73" t="n">
        <x:v>6</x:v>
      </x:c>
    </x:row>
    <x:row r="74">
      <x:c r="A74" t="str">
        <x:v>TT-SEA-01</x:v>
      </x:c>
      <x:c r="B74" t="n">
        <x:v>7</x:v>
      </x:c>
      <x:c r="C74" t="str">
        <x:v>Shanghai</x:v>
      </x:c>
      <x:c r="D74" t="str">
        <x:v>Los Angeles/Long Beach</x:v>
      </x:c>
      <x:c r="E74" t="str">
        <x:v>water</x:v>
      </x:c>
      <x:c r="F74" s="22" t="n">
        <x:v>1032</x:v>
      </x:c>
      <x:c r="G74" s="22" t="n">
        <x:v>1368</x:v>
      </x:c>
      <x:c r="H74" t="n">
        <x:v>7</x:v>
      </x:c>
    </x:row>
    <x:row r="75">
      <x:c r="A75" t="str">
        <x:v>TT-SEA-01</x:v>
      </x:c>
      <x:c r="B75" t="n">
        <x:v>8</x:v>
      </x:c>
      <x:c r="C75" t="str">
        <x:v>Shanghai</x:v>
      </x:c>
      <x:c r="D75" t="str">
        <x:v>Los Angeles/Long Beach</x:v>
      </x:c>
      <x:c r="E75" t="str">
        <x:v>water</x:v>
      </x:c>
      <x:c r="F75" s="22" t="n">
        <x:v>1200</x:v>
      </x:c>
      <x:c r="G75" s="22" t="n">
        <x:v>1536</x:v>
      </x:c>
      <x:c r="H75" t="n">
        <x:v>8</x:v>
      </x:c>
    </x:row>
    <x:row r="76">
      <x:c r="A76" t="str">
        <x:v>TT-SEA-02</x:v>
      </x:c>
      <x:c r="B76" t="n">
        <x:v>1</x:v>
      </x:c>
      <x:c r="C76" t="str">
        <x:v>Ningbo</x:v>
      </x:c>
      <x:c r="D76" t="str">
        <x:v>Los Angeles/Long Beach</x:v>
      </x:c>
      <x:c r="E76" t="str">
        <x:v>water</x:v>
      </x:c>
      <x:c r="F76" s="22" t="n">
        <x:v>24</x:v>
      </x:c>
      <x:c r="G76" s="22" t="n">
        <x:v>408</x:v>
      </x:c>
      <x:c r="H76" t="n">
        <x:v>1</x:v>
      </x:c>
    </x:row>
    <x:row r="77">
      <x:c r="A77" t="str">
        <x:v>TT-SEA-02</x:v>
      </x:c>
      <x:c r="B77" t="n">
        <x:v>2</x:v>
      </x:c>
      <x:c r="C77" t="str">
        <x:v>Ningbo</x:v>
      </x:c>
      <x:c r="D77" t="str">
        <x:v>Los Angeles/Long Beach</x:v>
      </x:c>
      <x:c r="E77" t="str">
        <x:v>water</x:v>
      </x:c>
      <x:c r="F77" s="22" t="n">
        <x:v>192</x:v>
      </x:c>
      <x:c r="G77" s="22" t="n">
        <x:v>576</x:v>
      </x:c>
      <x:c r="H77" t="n">
        <x:v>2</x:v>
      </x:c>
    </x:row>
    <x:row r="78">
      <x:c r="A78" t="str">
        <x:v>TT-SEA-02</x:v>
      </x:c>
      <x:c r="B78" t="n">
        <x:v>3</x:v>
      </x:c>
      <x:c r="C78" t="str">
        <x:v>Ningbo</x:v>
      </x:c>
      <x:c r="D78" t="str">
        <x:v>Los Angeles/Long Beach</x:v>
      </x:c>
      <x:c r="E78" t="str">
        <x:v>water</x:v>
      </x:c>
      <x:c r="F78" s="22" t="n">
        <x:v>360</x:v>
      </x:c>
      <x:c r="G78" s="22" t="n">
        <x:v>744</x:v>
      </x:c>
      <x:c r="H78" t="n">
        <x:v>3</x:v>
      </x:c>
    </x:row>
    <x:row r="79">
      <x:c r="A79" t="str">
        <x:v>TT-SEA-02</x:v>
      </x:c>
      <x:c r="B79" t="n">
        <x:v>4</x:v>
      </x:c>
      <x:c r="C79" t="str">
        <x:v>Ningbo</x:v>
      </x:c>
      <x:c r="D79" t="str">
        <x:v>Los Angeles/Long Beach</x:v>
      </x:c>
      <x:c r="E79" t="str">
        <x:v>water</x:v>
      </x:c>
      <x:c r="F79" s="22" t="n">
        <x:v>528</x:v>
      </x:c>
      <x:c r="G79" s="22" t="n">
        <x:v>912</x:v>
      </x:c>
      <x:c r="H79" t="n">
        <x:v>4</x:v>
      </x:c>
    </x:row>
    <x:row r="80">
      <x:c r="A80" t="str">
        <x:v>TT-SEA-02</x:v>
      </x:c>
      <x:c r="B80" t="n">
        <x:v>5</x:v>
      </x:c>
      <x:c r="C80" t="str">
        <x:v>Ningbo</x:v>
      </x:c>
      <x:c r="D80" t="str">
        <x:v>Los Angeles/Long Beach</x:v>
      </x:c>
      <x:c r="E80" t="str">
        <x:v>water</x:v>
      </x:c>
      <x:c r="F80" s="22" t="n">
        <x:v>696</x:v>
      </x:c>
      <x:c r="G80" s="22" t="n">
        <x:v>1080</x:v>
      </x:c>
      <x:c r="H80" t="n">
        <x:v>5</x:v>
      </x:c>
    </x:row>
    <x:row r="81">
      <x:c r="A81" t="str">
        <x:v>TT-SEA-02</x:v>
      </x:c>
      <x:c r="B81" t="n">
        <x:v>6</x:v>
      </x:c>
      <x:c r="C81" t="str">
        <x:v>Ningbo</x:v>
      </x:c>
      <x:c r="D81" t="str">
        <x:v>Los Angeles/Long Beach</x:v>
      </x:c>
      <x:c r="E81" t="str">
        <x:v>water</x:v>
      </x:c>
      <x:c r="F81" s="22" t="n">
        <x:v>864</x:v>
      </x:c>
      <x:c r="G81" s="22" t="n">
        <x:v>1248</x:v>
      </x:c>
      <x:c r="H81" t="n">
        <x:v>6</x:v>
      </x:c>
    </x:row>
    <x:row r="82">
      <x:c r="A82" t="str">
        <x:v>TT-SEA-02</x:v>
      </x:c>
      <x:c r="B82" t="n">
        <x:v>7</x:v>
      </x:c>
      <x:c r="C82" t="str">
        <x:v>Ningbo</x:v>
      </x:c>
      <x:c r="D82" t="str">
        <x:v>Los Angeles/Long Beach</x:v>
      </x:c>
      <x:c r="E82" t="str">
        <x:v>water</x:v>
      </x:c>
      <x:c r="F82" s="22" t="n">
        <x:v>1032</x:v>
      </x:c>
      <x:c r="G82" s="22" t="n">
        <x:v>1416</x:v>
      </x:c>
      <x:c r="H82" t="n">
        <x:v>7</x:v>
      </x:c>
    </x:row>
    <x:row r="83">
      <x:c r="A83" t="str">
        <x:v>TT-SEA-02</x:v>
      </x:c>
      <x:c r="B83" t="n">
        <x:v>8</x:v>
      </x:c>
      <x:c r="C83" t="str">
        <x:v>Ningbo</x:v>
      </x:c>
      <x:c r="D83" t="str">
        <x:v>Los Angeles/Long Beach</x:v>
      </x:c>
      <x:c r="E83" t="str">
        <x:v>water</x:v>
      </x:c>
      <x:c r="F83" s="22" t="n">
        <x:v>1200</x:v>
      </x:c>
      <x:c r="G83" s="22" t="n">
        <x:v>1584</x:v>
      </x:c>
      <x:c r="H83" t="n">
        <x:v>8</x:v>
      </x:c>
    </x:row>
    <x:row r="84">
      <x:c r="A84" t="str">
        <x:v>TT-SEA-03</x:v>
      </x:c>
      <x:c r="B84" t="n">
        <x:v>1</x:v>
      </x:c>
      <x:c r="C84" t="str">
        <x:v>Shanghai</x:v>
      </x:c>
      <x:c r="D84" t="str">
        <x:v>Seattle/Tacoma</x:v>
      </x:c>
      <x:c r="E84" t="str">
        <x:v>water</x:v>
      </x:c>
      <x:c r="F84" s="22" t="n">
        <x:v>24</x:v>
      </x:c>
      <x:c r="G84" s="22" t="n">
        <x:v>414</x:v>
      </x:c>
      <x:c r="H84" t="n">
        <x:v>1</x:v>
      </x:c>
    </x:row>
    <x:row r="85">
      <x:c r="A85" t="str">
        <x:v>TT-SEA-03</x:v>
      </x:c>
      <x:c r="B85" t="n">
        <x:v>2</x:v>
      </x:c>
      <x:c r="C85" t="str">
        <x:v>Shanghai</x:v>
      </x:c>
      <x:c r="D85" t="str">
        <x:v>Seattle/Tacoma</x:v>
      </x:c>
      <x:c r="E85" t="str">
        <x:v>water</x:v>
      </x:c>
      <x:c r="F85" s="22" t="n">
        <x:v>192</x:v>
      </x:c>
      <x:c r="G85" s="22" t="n">
        <x:v>582</x:v>
      </x:c>
      <x:c r="H85" t="n">
        <x:v>2</x:v>
      </x:c>
    </x:row>
    <x:row r="86">
      <x:c r="A86" t="str">
        <x:v>TT-SEA-03</x:v>
      </x:c>
      <x:c r="B86" t="n">
        <x:v>3</x:v>
      </x:c>
      <x:c r="C86" t="str">
        <x:v>Shanghai</x:v>
      </x:c>
      <x:c r="D86" t="str">
        <x:v>Seattle/Tacoma</x:v>
      </x:c>
      <x:c r="E86" t="str">
        <x:v>water</x:v>
      </x:c>
      <x:c r="F86" s="22" t="n">
        <x:v>360</x:v>
      </x:c>
      <x:c r="G86" s="22" t="n">
        <x:v>750</x:v>
      </x:c>
      <x:c r="H86" t="n">
        <x:v>3</x:v>
      </x:c>
    </x:row>
    <x:row r="87">
      <x:c r="A87" t="str">
        <x:v>TT-SEA-03</x:v>
      </x:c>
      <x:c r="B87" t="n">
        <x:v>4</x:v>
      </x:c>
      <x:c r="C87" t="str">
        <x:v>Shanghai</x:v>
      </x:c>
      <x:c r="D87" t="str">
        <x:v>Seattle/Tacoma</x:v>
      </x:c>
      <x:c r="E87" t="str">
        <x:v>water</x:v>
      </x:c>
      <x:c r="F87" s="22" t="n">
        <x:v>528</x:v>
      </x:c>
      <x:c r="G87" s="22" t="n">
        <x:v>918</x:v>
      </x:c>
      <x:c r="H87" t="n">
        <x:v>4</x:v>
      </x:c>
    </x:row>
    <x:row r="88">
      <x:c r="A88" t="str">
        <x:v>TT-SEA-03</x:v>
      </x:c>
      <x:c r="B88" t="n">
        <x:v>5</x:v>
      </x:c>
      <x:c r="C88" t="str">
        <x:v>Shanghai</x:v>
      </x:c>
      <x:c r="D88" t="str">
        <x:v>Seattle/Tacoma</x:v>
      </x:c>
      <x:c r="E88" t="str">
        <x:v>water</x:v>
      </x:c>
      <x:c r="F88" s="22" t="n">
        <x:v>696</x:v>
      </x:c>
      <x:c r="G88" s="22" t="n">
        <x:v>1086</x:v>
      </x:c>
      <x:c r="H88" t="n">
        <x:v>5</x:v>
      </x:c>
    </x:row>
    <x:row r="89">
      <x:c r="A89" t="str">
        <x:v>TT-SEA-03</x:v>
      </x:c>
      <x:c r="B89" t="n">
        <x:v>6</x:v>
      </x:c>
      <x:c r="C89" t="str">
        <x:v>Shanghai</x:v>
      </x:c>
      <x:c r="D89" t="str">
        <x:v>Seattle/Tacoma</x:v>
      </x:c>
      <x:c r="E89" t="str">
        <x:v>water</x:v>
      </x:c>
      <x:c r="F89" s="22" t="n">
        <x:v>864</x:v>
      </x:c>
      <x:c r="G89" s="22" t="n">
        <x:v>1254</x:v>
      </x:c>
      <x:c r="H89" t="n">
        <x:v>6</x:v>
      </x:c>
    </x:row>
    <x:row r="90">
      <x:c r="A90" t="str">
        <x:v>TT-SEA-03</x:v>
      </x:c>
      <x:c r="B90" t="n">
        <x:v>7</x:v>
      </x:c>
      <x:c r="C90" t="str">
        <x:v>Shanghai</x:v>
      </x:c>
      <x:c r="D90" t="str">
        <x:v>Seattle/Tacoma</x:v>
      </x:c>
      <x:c r="E90" t="str">
        <x:v>water</x:v>
      </x:c>
      <x:c r="F90" s="22" t="n">
        <x:v>1032</x:v>
      </x:c>
      <x:c r="G90" s="22" t="n">
        <x:v>1422</x:v>
      </x:c>
      <x:c r="H90" t="n">
        <x:v>7</x:v>
      </x:c>
    </x:row>
    <x:row r="91">
      <x:c r="A91" t="str">
        <x:v>TT-SEA-03</x:v>
      </x:c>
      <x:c r="B91" t="n">
        <x:v>8</x:v>
      </x:c>
      <x:c r="C91" t="str">
        <x:v>Shanghai</x:v>
      </x:c>
      <x:c r="D91" t="str">
        <x:v>Seattle/Tacoma</x:v>
      </x:c>
      <x:c r="E91" t="str">
        <x:v>water</x:v>
      </x:c>
      <x:c r="F91" s="22" t="n">
        <x:v>1200</x:v>
      </x:c>
      <x:c r="G91" s="22" t="n">
        <x:v>1590</x:v>
      </x:c>
      <x:c r="H91" t="n">
        <x:v>8</x:v>
      </x:c>
    </x:row>
    <x:row r="92">
      <x:c r="A92" t="str">
        <x:v>TT-SEA-04</x:v>
      </x:c>
      <x:c r="B92" t="n">
        <x:v>1</x:v>
      </x:c>
      <x:c r="C92" t="str">
        <x:v>Ningbo</x:v>
      </x:c>
      <x:c r="D92" t="str">
        <x:v>Seattle/Tacoma</x:v>
      </x:c>
      <x:c r="E92" t="str">
        <x:v>water</x:v>
      </x:c>
      <x:c r="F92" s="22" t="n">
        <x:v>24</x:v>
      </x:c>
      <x:c r="G92" s="22" t="n">
        <x:v>384</x:v>
      </x:c>
      <x:c r="H92" t="n">
        <x:v>1</x:v>
      </x:c>
    </x:row>
    <x:row r="93">
      <x:c r="A93" t="str">
        <x:v>TT-SEA-04</x:v>
      </x:c>
      <x:c r="B93" t="n">
        <x:v>2</x:v>
      </x:c>
      <x:c r="C93" t="str">
        <x:v>Ningbo</x:v>
      </x:c>
      <x:c r="D93" t="str">
        <x:v>Seattle/Tacoma</x:v>
      </x:c>
      <x:c r="E93" t="str">
        <x:v>water</x:v>
      </x:c>
      <x:c r="F93" s="22" t="n">
        <x:v>192</x:v>
      </x:c>
      <x:c r="G93" s="22" t="n">
        <x:v>552</x:v>
      </x:c>
      <x:c r="H93" t="n">
        <x:v>2</x:v>
      </x:c>
    </x:row>
    <x:row r="94">
      <x:c r="A94" t="str">
        <x:v>TT-SEA-04</x:v>
      </x:c>
      <x:c r="B94" t="n">
        <x:v>3</x:v>
      </x:c>
      <x:c r="C94" t="str">
        <x:v>Ningbo</x:v>
      </x:c>
      <x:c r="D94" t="str">
        <x:v>Seattle/Tacoma</x:v>
      </x:c>
      <x:c r="E94" t="str">
        <x:v>water</x:v>
      </x:c>
      <x:c r="F94" s="22" t="n">
        <x:v>360</x:v>
      </x:c>
      <x:c r="G94" s="22" t="n">
        <x:v>720</x:v>
      </x:c>
      <x:c r="H94" t="n">
        <x:v>3</x:v>
      </x:c>
    </x:row>
    <x:row r="95">
      <x:c r="A95" t="str">
        <x:v>TT-SEA-04</x:v>
      </x:c>
      <x:c r="B95" t="n">
        <x:v>4</x:v>
      </x:c>
      <x:c r="C95" t="str">
        <x:v>Ningbo</x:v>
      </x:c>
      <x:c r="D95" t="str">
        <x:v>Seattle/Tacoma</x:v>
      </x:c>
      <x:c r="E95" t="str">
        <x:v>water</x:v>
      </x:c>
      <x:c r="F95" s="22" t="n">
        <x:v>528</x:v>
      </x:c>
      <x:c r="G95" s="22" t="n">
        <x:v>888</x:v>
      </x:c>
      <x:c r="H95" t="n">
        <x:v>4</x:v>
      </x:c>
    </x:row>
    <x:row r="96">
      <x:c r="A96" t="str">
        <x:v>TT-SEA-04</x:v>
      </x:c>
      <x:c r="B96" t="n">
        <x:v>5</x:v>
      </x:c>
      <x:c r="C96" t="str">
        <x:v>Ningbo</x:v>
      </x:c>
      <x:c r="D96" t="str">
        <x:v>Seattle/Tacoma</x:v>
      </x:c>
      <x:c r="E96" t="str">
        <x:v>water</x:v>
      </x:c>
      <x:c r="F96" s="22" t="n">
        <x:v>696</x:v>
      </x:c>
      <x:c r="G96" s="22" t="n">
        <x:v>1056</x:v>
      </x:c>
      <x:c r="H96" t="n">
        <x:v>5</x:v>
      </x:c>
    </x:row>
    <x:row r="97">
      <x:c r="A97" t="str">
        <x:v>TT-SEA-04</x:v>
      </x:c>
      <x:c r="B97" t="n">
        <x:v>6</x:v>
      </x:c>
      <x:c r="C97" t="str">
        <x:v>Ningbo</x:v>
      </x:c>
      <x:c r="D97" t="str">
        <x:v>Seattle/Tacoma</x:v>
      </x:c>
      <x:c r="E97" t="str">
        <x:v>water</x:v>
      </x:c>
      <x:c r="F97" s="22" t="n">
        <x:v>864</x:v>
      </x:c>
      <x:c r="G97" s="22" t="n">
        <x:v>1224</x:v>
      </x:c>
      <x:c r="H97" t="n">
        <x:v>6</x:v>
      </x:c>
    </x:row>
    <x:row r="98">
      <x:c r="A98" t="str">
        <x:v>TT-SEA-04</x:v>
      </x:c>
      <x:c r="B98" t="n">
        <x:v>7</x:v>
      </x:c>
      <x:c r="C98" t="str">
        <x:v>Ningbo</x:v>
      </x:c>
      <x:c r="D98" t="str">
        <x:v>Seattle/Tacoma</x:v>
      </x:c>
      <x:c r="E98" t="str">
        <x:v>water</x:v>
      </x:c>
      <x:c r="F98" s="22" t="n">
        <x:v>1032</x:v>
      </x:c>
      <x:c r="G98" s="22" t="n">
        <x:v>1392</x:v>
      </x:c>
      <x:c r="H98" t="n">
        <x:v>7</x:v>
      </x:c>
    </x:row>
    <x:row r="99">
      <x:c r="A99" t="str">
        <x:v>TT-SEA-04</x:v>
      </x:c>
      <x:c r="B99" t="n">
        <x:v>8</x:v>
      </x:c>
      <x:c r="C99" t="str">
        <x:v>Ningbo</x:v>
      </x:c>
      <x:c r="D99" t="str">
        <x:v>Seattle/Tacoma</x:v>
      </x:c>
      <x:c r="E99" t="str">
        <x:v>water</x:v>
      </x:c>
      <x:c r="F99" s="22" t="n">
        <x:v>1200</x:v>
      </x:c>
      <x:c r="G99" s="22" t="n">
        <x:v>1560</x:v>
      </x:c>
      <x:c r="H99" t="n">
        <x:v>8</x:v>
      </x:c>
    </x:row>
    <x:row r="100">
      <x:c r="A100" t="str">
        <x:v>TT-SEA-05</x:v>
      </x:c>
      <x:c r="B100" t="n">
        <x:v>1</x:v>
      </x:c>
      <x:c r="C100" t="str">
        <x:v>Shanghai</x:v>
      </x:c>
      <x:c r="D100" t="str">
        <x:v>New York/New Jersey</x:v>
      </x:c>
      <x:c r="E100" t="str">
        <x:v>water</x:v>
      </x:c>
      <x:c r="F100" s="22" t="n">
        <x:v>24</x:v>
      </x:c>
      <x:c r="G100" s="22" t="n">
        <x:v>696</x:v>
      </x:c>
      <x:c r="H100" t="n">
        <x:v>1</x:v>
      </x:c>
    </x:row>
    <x:row r="101">
      <x:c r="A101" t="str">
        <x:v>TT-SEA-05</x:v>
      </x:c>
      <x:c r="B101" t="n">
        <x:v>2</x:v>
      </x:c>
      <x:c r="C101" t="str">
        <x:v>Shanghai</x:v>
      </x:c>
      <x:c r="D101" t="str">
        <x:v>New York/New Jersey</x:v>
      </x:c>
      <x:c r="E101" t="str">
        <x:v>water</x:v>
      </x:c>
      <x:c r="F101" s="22" t="n">
        <x:v>192</x:v>
      </x:c>
      <x:c r="G101" s="22" t="n">
        <x:v>864</x:v>
      </x:c>
      <x:c r="H101" t="n">
        <x:v>2</x:v>
      </x:c>
    </x:row>
    <x:row r="102">
      <x:c r="A102" t="str">
        <x:v>TT-SEA-05</x:v>
      </x:c>
      <x:c r="B102" t="n">
        <x:v>3</x:v>
      </x:c>
      <x:c r="C102" t="str">
        <x:v>Shanghai</x:v>
      </x:c>
      <x:c r="D102" t="str">
        <x:v>New York/New Jersey</x:v>
      </x:c>
      <x:c r="E102" t="str">
        <x:v>water</x:v>
      </x:c>
      <x:c r="F102" s="22" t="n">
        <x:v>360</x:v>
      </x:c>
      <x:c r="G102" s="22" t="n">
        <x:v>1032</x:v>
      </x:c>
      <x:c r="H102" t="n">
        <x:v>3</x:v>
      </x:c>
    </x:row>
    <x:row r="103">
      <x:c r="A103" t="str">
        <x:v>TT-SEA-05</x:v>
      </x:c>
      <x:c r="B103" t="n">
        <x:v>4</x:v>
      </x:c>
      <x:c r="C103" t="str">
        <x:v>Shanghai</x:v>
      </x:c>
      <x:c r="D103" t="str">
        <x:v>New York/New Jersey</x:v>
      </x:c>
      <x:c r="E103" t="str">
        <x:v>water</x:v>
      </x:c>
      <x:c r="F103" s="22" t="n">
        <x:v>528</x:v>
      </x:c>
      <x:c r="G103" s="22" t="n">
        <x:v>1200</x:v>
      </x:c>
      <x:c r="H103" t="n">
        <x:v>4</x:v>
      </x:c>
    </x:row>
    <x:row r="104">
      <x:c r="A104" t="str">
        <x:v>TT-SEA-05</x:v>
      </x:c>
      <x:c r="B104" t="n">
        <x:v>5</x:v>
      </x:c>
      <x:c r="C104" t="str">
        <x:v>Shanghai</x:v>
      </x:c>
      <x:c r="D104" t="str">
        <x:v>New York/New Jersey</x:v>
      </x:c>
      <x:c r="E104" t="str">
        <x:v>water</x:v>
      </x:c>
      <x:c r="F104" s="22" t="n">
        <x:v>696</x:v>
      </x:c>
      <x:c r="G104" s="22" t="n">
        <x:v>1368</x:v>
      </x:c>
      <x:c r="H104" t="n">
        <x:v>5</x:v>
      </x:c>
    </x:row>
    <x:row r="105">
      <x:c r="A105" t="str">
        <x:v>TT-SEA-05</x:v>
      </x:c>
      <x:c r="B105" t="n">
        <x:v>6</x:v>
      </x:c>
      <x:c r="C105" t="str">
        <x:v>Shanghai</x:v>
      </x:c>
      <x:c r="D105" t="str">
        <x:v>New York/New Jersey</x:v>
      </x:c>
      <x:c r="E105" t="str">
        <x:v>water</x:v>
      </x:c>
      <x:c r="F105" s="22" t="n">
        <x:v>864</x:v>
      </x:c>
      <x:c r="G105" s="22" t="n">
        <x:v>1536</x:v>
      </x:c>
      <x:c r="H105" t="n">
        <x:v>6</x:v>
      </x:c>
    </x:row>
    <x:row r="106">
      <x:c r="A106" t="str">
        <x:v>TT-SEA-05</x:v>
      </x:c>
      <x:c r="B106" t="n">
        <x:v>7</x:v>
      </x:c>
      <x:c r="C106" t="str">
        <x:v>Shanghai</x:v>
      </x:c>
      <x:c r="D106" t="str">
        <x:v>New York/New Jersey</x:v>
      </x:c>
      <x:c r="E106" t="str">
        <x:v>water</x:v>
      </x:c>
      <x:c r="F106" s="22" t="n">
        <x:v>1032</x:v>
      </x:c>
      <x:c r="G106" s="22" t="n">
        <x:v>1704</x:v>
      </x:c>
      <x:c r="H106" t="n">
        <x:v>7</x:v>
      </x:c>
    </x:row>
    <x:row r="107">
      <x:c r="A107" t="str">
        <x:v>TT-SEA-05</x:v>
      </x:c>
      <x:c r="B107" t="n">
        <x:v>8</x:v>
      </x:c>
      <x:c r="C107" t="str">
        <x:v>Shanghai</x:v>
      </x:c>
      <x:c r="D107" t="str">
        <x:v>New York/New Jersey</x:v>
      </x:c>
      <x:c r="E107" t="str">
        <x:v>water</x:v>
      </x:c>
      <x:c r="F107" s="22" t="n">
        <x:v>1200</x:v>
      </x:c>
      <x:c r="G107" s="22" t="n">
        <x:v>1872</x:v>
      </x:c>
      <x:c r="H107" t="n">
        <x:v>8</x:v>
      </x:c>
    </x:row>
    <x:row r="108">
      <x:c r="A108" t="str">
        <x:v>TT-SEA-06</x:v>
      </x:c>
      <x:c r="B108" t="n">
        <x:v>1</x:v>
      </x:c>
      <x:c r="C108" t="str">
        <x:v>Ningbo</x:v>
      </x:c>
      <x:c r="D108" t="str">
        <x:v>New York/New Jersey</x:v>
      </x:c>
      <x:c r="E108" t="str">
        <x:v>water</x:v>
      </x:c>
      <x:c r="F108" s="22" t="n">
        <x:v>24</x:v>
      </x:c>
      <x:c r="G108" s="22" t="n">
        <x:v>744</x:v>
      </x:c>
      <x:c r="H108" t="n">
        <x:v>1</x:v>
      </x:c>
    </x:row>
    <x:row r="109">
      <x:c r="A109" t="str">
        <x:v>TT-SEA-06</x:v>
      </x:c>
      <x:c r="B109" t="n">
        <x:v>2</x:v>
      </x:c>
      <x:c r="C109" t="str">
        <x:v>Ningbo</x:v>
      </x:c>
      <x:c r="D109" t="str">
        <x:v>New York/New Jersey</x:v>
      </x:c>
      <x:c r="E109" t="str">
        <x:v>water</x:v>
      </x:c>
      <x:c r="F109" s="22" t="n">
        <x:v>192</x:v>
      </x:c>
      <x:c r="G109" s="22" t="n">
        <x:v>912</x:v>
      </x:c>
      <x:c r="H109" t="n">
        <x:v>2</x:v>
      </x:c>
    </x:row>
    <x:row r="110">
      <x:c r="A110" t="str">
        <x:v>TT-SEA-06</x:v>
      </x:c>
      <x:c r="B110" t="n">
        <x:v>3</x:v>
      </x:c>
      <x:c r="C110" t="str">
        <x:v>Ningbo</x:v>
      </x:c>
      <x:c r="D110" t="str">
        <x:v>New York/New Jersey</x:v>
      </x:c>
      <x:c r="E110" t="str">
        <x:v>water</x:v>
      </x:c>
      <x:c r="F110" s="22" t="n">
        <x:v>360</x:v>
      </x:c>
      <x:c r="G110" s="22" t="n">
        <x:v>1080</x:v>
      </x:c>
      <x:c r="H110" t="n">
        <x:v>3</x:v>
      </x:c>
    </x:row>
    <x:row r="111">
      <x:c r="A111" t="str">
        <x:v>TT-SEA-06</x:v>
      </x:c>
      <x:c r="B111" t="n">
        <x:v>4</x:v>
      </x:c>
      <x:c r="C111" t="str">
        <x:v>Ningbo</x:v>
      </x:c>
      <x:c r="D111" t="str">
        <x:v>New York/New Jersey</x:v>
      </x:c>
      <x:c r="E111" t="str">
        <x:v>water</x:v>
      </x:c>
      <x:c r="F111" s="22" t="n">
        <x:v>528</x:v>
      </x:c>
      <x:c r="G111" s="22" t="n">
        <x:v>1248</x:v>
      </x:c>
      <x:c r="H111" t="n">
        <x:v>4</x:v>
      </x:c>
    </x:row>
    <x:row r="112">
      <x:c r="A112" t="str">
        <x:v>TT-SEA-06</x:v>
      </x:c>
      <x:c r="B112" t="n">
        <x:v>5</x:v>
      </x:c>
      <x:c r="C112" t="str">
        <x:v>Ningbo</x:v>
      </x:c>
      <x:c r="D112" t="str">
        <x:v>New York/New Jersey</x:v>
      </x:c>
      <x:c r="E112" t="str">
        <x:v>water</x:v>
      </x:c>
      <x:c r="F112" s="22" t="n">
        <x:v>696</x:v>
      </x:c>
      <x:c r="G112" s="22" t="n">
        <x:v>1416</x:v>
      </x:c>
      <x:c r="H112" t="n">
        <x:v>5</x:v>
      </x:c>
    </x:row>
    <x:row r="113">
      <x:c r="A113" t="str">
        <x:v>TT-SEA-06</x:v>
      </x:c>
      <x:c r="B113" t="n">
        <x:v>6</x:v>
      </x:c>
      <x:c r="C113" t="str">
        <x:v>Ningbo</x:v>
      </x:c>
      <x:c r="D113" t="str">
        <x:v>New York/New Jersey</x:v>
      </x:c>
      <x:c r="E113" t="str">
        <x:v>water</x:v>
      </x:c>
      <x:c r="F113" s="22" t="n">
        <x:v>864</x:v>
      </x:c>
      <x:c r="G113" s="22" t="n">
        <x:v>1584</x:v>
      </x:c>
      <x:c r="H113" t="n">
        <x:v>6</x:v>
      </x:c>
    </x:row>
    <x:row r="114">
      <x:c r="A114" t="str">
        <x:v>TT-SEA-06</x:v>
      </x:c>
      <x:c r="B114" t="n">
        <x:v>7</x:v>
      </x:c>
      <x:c r="C114" t="str">
        <x:v>Ningbo</x:v>
      </x:c>
      <x:c r="D114" t="str">
        <x:v>New York/New Jersey</x:v>
      </x:c>
      <x:c r="E114" t="str">
        <x:v>water</x:v>
      </x:c>
      <x:c r="F114" s="22" t="n">
        <x:v>1032</x:v>
      </x:c>
      <x:c r="G114" s="22" t="n">
        <x:v>1752</x:v>
      </x:c>
      <x:c r="H114" t="n">
        <x:v>7</x:v>
      </x:c>
    </x:row>
    <x:row r="115">
      <x:c r="A115" t="str">
        <x:v>TT-SEA-06</x:v>
      </x:c>
      <x:c r="B115" t="n">
        <x:v>8</x:v>
      </x:c>
      <x:c r="C115" t="str">
        <x:v>Ningbo</x:v>
      </x:c>
      <x:c r="D115" t="str">
        <x:v>New York/New Jersey</x:v>
      </x:c>
      <x:c r="E115" t="str">
        <x:v>water</x:v>
      </x:c>
      <x:c r="F115" s="22" t="n">
        <x:v>1200</x:v>
      </x:c>
      <x:c r="G115" s="22" t="n">
        <x:v>1920</x:v>
      </x:c>
      <x:c r="H115" t="n">
        <x:v>8</x:v>
      </x:c>
    </x:row>
    <x:row r="116">
      <x:c r="A116" t="str">
        <x:v>TT-US-01</x:v>
      </x:c>
      <x:c r="B116" t="n">
        <x:v>1</x:v>
      </x:c>
      <x:c r="C116" t="str">
        <x:v>Los Angeles/Long Beach</x:v>
      </x:c>
      <x:c r="D116" t="str">
        <x:v>Chicago</x:v>
      </x:c>
      <x:c r="E116" t="str">
        <x:v>rail</x:v>
      </x:c>
      <x:c r="F116" s="22" t="n">
        <x:v>12</x:v>
      </x:c>
      <x:c r="G116" s="22" t="n">
        <x:v>88</x:v>
      </x:c>
      <x:c r="H116" t="n">
        <x:v>1</x:v>
      </x:c>
    </x:row>
    <x:row r="117">
      <x:c r="A117" t="str">
        <x:v>TT-US-01</x:v>
      </x:c>
      <x:c r="B117" t="n">
        <x:v>2</x:v>
      </x:c>
      <x:c r="C117" t="str">
        <x:v>Los Angeles/Long Beach</x:v>
      </x:c>
      <x:c r="D117" t="str">
        <x:v>Chicago</x:v>
      </x:c>
      <x:c r="E117" t="str">
        <x:v>rail</x:v>
      </x:c>
      <x:c r="F117" s="22" t="n">
        <x:v>45.6</x:v>
      </x:c>
      <x:c r="G117" s="22" t="n">
        <x:v>121.6</x:v>
      </x:c>
      <x:c r="H117" t="n">
        <x:v>1</x:v>
      </x:c>
    </x:row>
    <x:row r="118">
      <x:c r="A118" t="str">
        <x:v>TT-US-01</x:v>
      </x:c>
      <x:c r="B118" t="n">
        <x:v>3</x:v>
      </x:c>
      <x:c r="C118" t="str">
        <x:v>Los Angeles/Long Beach</x:v>
      </x:c>
      <x:c r="D118" t="str">
        <x:v>Chicago</x:v>
      </x:c>
      <x:c r="E118" t="str">
        <x:v>rail</x:v>
      </x:c>
      <x:c r="F118" s="22" t="n">
        <x:v>79.2</x:v>
      </x:c>
      <x:c r="G118" s="22" t="n">
        <x:v>155.2</x:v>
      </x:c>
      <x:c r="H118" t="n">
        <x:v>1</x:v>
      </x:c>
    </x:row>
    <x:row r="119">
      <x:c r="A119" t="str">
        <x:v>TT-US-01</x:v>
      </x:c>
      <x:c r="B119" t="n">
        <x:v>4</x:v>
      </x:c>
      <x:c r="C119" t="str">
        <x:v>Los Angeles/Long Beach</x:v>
      </x:c>
      <x:c r="D119" t="str">
        <x:v>Chicago</x:v>
      </x:c>
      <x:c r="E119" t="str">
        <x:v>rail</x:v>
      </x:c>
      <x:c r="F119" s="22" t="n">
        <x:v>112.8</x:v>
      </x:c>
      <x:c r="G119" s="22" t="n">
        <x:v>188.8</x:v>
      </x:c>
      <x:c r="H119" t="n">
        <x:v>1</x:v>
      </x:c>
    </x:row>
    <x:row r="120">
      <x:c r="A120" t="str">
        <x:v>TT-US-01</x:v>
      </x:c>
      <x:c r="B120" t="n">
        <x:v>5</x:v>
      </x:c>
      <x:c r="C120" t="str">
        <x:v>Los Angeles/Long Beach</x:v>
      </x:c>
      <x:c r="D120" t="str">
        <x:v>Chicago</x:v>
      </x:c>
      <x:c r="E120" t="str">
        <x:v>rail</x:v>
      </x:c>
      <x:c r="F120" s="22" t="n">
        <x:v>146.4</x:v>
      </x:c>
      <x:c r="G120" s="22" t="n">
        <x:v>222.4</x:v>
      </x:c>
      <x:c r="H120" t="n">
        <x:v>1</x:v>
      </x:c>
    </x:row>
    <x:row r="121">
      <x:c r="A121" t="str">
        <x:v>TT-US-01</x:v>
      </x:c>
      <x:c r="B121" t="n">
        <x:v>6</x:v>
      </x:c>
      <x:c r="C121" t="str">
        <x:v>Los Angeles/Long Beach</x:v>
      </x:c>
      <x:c r="D121" t="str">
        <x:v>Chicago</x:v>
      </x:c>
      <x:c r="E121" t="str">
        <x:v>rail</x:v>
      </x:c>
      <x:c r="F121" s="22" t="n">
        <x:v>180</x:v>
      </x:c>
      <x:c r="G121" s="22" t="n">
        <x:v>256</x:v>
      </x:c>
      <x:c r="H121" t="n">
        <x:v>2</x:v>
      </x:c>
    </x:row>
    <x:row r="122">
      <x:c r="A122" t="str">
        <x:v>TT-US-01</x:v>
      </x:c>
      <x:c r="B122" t="n">
        <x:v>7</x:v>
      </x:c>
      <x:c r="C122" t="str">
        <x:v>Los Angeles/Long Beach</x:v>
      </x:c>
      <x:c r="D122" t="str">
        <x:v>Chicago</x:v>
      </x:c>
      <x:c r="E122" t="str">
        <x:v>rail</x:v>
      </x:c>
      <x:c r="F122" s="22" t="n">
        <x:v>213.6</x:v>
      </x:c>
      <x:c r="G122" s="22" t="n">
        <x:v>289.6</x:v>
      </x:c>
      <x:c r="H122" t="n">
        <x:v>2</x:v>
      </x:c>
    </x:row>
    <x:row r="123">
      <x:c r="A123" t="str">
        <x:v>TT-US-01</x:v>
      </x:c>
      <x:c r="B123" t="n">
        <x:v>8</x:v>
      </x:c>
      <x:c r="C123" t="str">
        <x:v>Los Angeles/Long Beach</x:v>
      </x:c>
      <x:c r="D123" t="str">
        <x:v>Chicago</x:v>
      </x:c>
      <x:c r="E123" t="str">
        <x:v>rail</x:v>
      </x:c>
      <x:c r="F123" s="22" t="n">
        <x:v>247.2</x:v>
      </x:c>
      <x:c r="G123" s="22" t="n">
        <x:v>323.2</x:v>
      </x:c>
      <x:c r="H123" t="n">
        <x:v>2</x:v>
      </x:c>
    </x:row>
    <x:row r="124">
      <x:c r="A124" t="str">
        <x:v>TT-US-01</x:v>
      </x:c>
      <x:c r="B124" t="n">
        <x:v>9</x:v>
      </x:c>
      <x:c r="C124" t="str">
        <x:v>Los Angeles/Long Beach</x:v>
      </x:c>
      <x:c r="D124" t="str">
        <x:v>Chicago</x:v>
      </x:c>
      <x:c r="E124" t="str">
        <x:v>rail</x:v>
      </x:c>
      <x:c r="F124" s="22" t="n">
        <x:v>280.8</x:v>
      </x:c>
      <x:c r="G124" s="22" t="n">
        <x:v>356.8</x:v>
      </x:c>
      <x:c r="H124" t="n">
        <x:v>2</x:v>
      </x:c>
    </x:row>
    <x:row r="125">
      <x:c r="A125" t="str">
        <x:v>TT-US-01</x:v>
      </x:c>
      <x:c r="B125" t="n">
        <x:v>10</x:v>
      </x:c>
      <x:c r="C125" t="str">
        <x:v>Los Angeles/Long Beach</x:v>
      </x:c>
      <x:c r="D125" t="str">
        <x:v>Chicago</x:v>
      </x:c>
      <x:c r="E125" t="str">
        <x:v>rail</x:v>
      </x:c>
      <x:c r="F125" s="22" t="n">
        <x:v>314.4</x:v>
      </x:c>
      <x:c r="G125" s="22" t="n">
        <x:v>390.4</x:v>
      </x:c>
      <x:c r="H125" t="n">
        <x:v>2</x:v>
      </x:c>
    </x:row>
    <x:row r="126">
      <x:c r="A126" t="str">
        <x:v>TT-US-01</x:v>
      </x:c>
      <x:c r="B126" t="n">
        <x:v>11</x:v>
      </x:c>
      <x:c r="C126" t="str">
        <x:v>Los Angeles/Long Beach</x:v>
      </x:c>
      <x:c r="D126" t="str">
        <x:v>Chicago</x:v>
      </x:c>
      <x:c r="E126" t="str">
        <x:v>rail</x:v>
      </x:c>
      <x:c r="F126" s="22" t="n">
        <x:v>348</x:v>
      </x:c>
      <x:c r="G126" s="22" t="n">
        <x:v>424</x:v>
      </x:c>
      <x:c r="H126" t="n">
        <x:v>3</x:v>
      </x:c>
    </x:row>
    <x:row r="127">
      <x:c r="A127" t="str">
        <x:v>TT-US-01</x:v>
      </x:c>
      <x:c r="B127" t="n">
        <x:v>12</x:v>
      </x:c>
      <x:c r="C127" t="str">
        <x:v>Los Angeles/Long Beach</x:v>
      </x:c>
      <x:c r="D127" t="str">
        <x:v>Chicago</x:v>
      </x:c>
      <x:c r="E127" t="str">
        <x:v>rail</x:v>
      </x:c>
      <x:c r="F127" s="22" t="n">
        <x:v>381.6</x:v>
      </x:c>
      <x:c r="G127" s="22" t="n">
        <x:v>457.6</x:v>
      </x:c>
      <x:c r="H127" t="n">
        <x:v>3</x:v>
      </x:c>
    </x:row>
    <x:row r="128">
      <x:c r="A128" t="str">
        <x:v>TT-US-01</x:v>
      </x:c>
      <x:c r="B128" t="n">
        <x:v>13</x:v>
      </x:c>
      <x:c r="C128" t="str">
        <x:v>Los Angeles/Long Beach</x:v>
      </x:c>
      <x:c r="D128" t="str">
        <x:v>Chicago</x:v>
      </x:c>
      <x:c r="E128" t="str">
        <x:v>rail</x:v>
      </x:c>
      <x:c r="F128" s="22" t="n">
        <x:v>415.2</x:v>
      </x:c>
      <x:c r="G128" s="22" t="n">
        <x:v>491.2</x:v>
      </x:c>
      <x:c r="H128" t="n">
        <x:v>3</x:v>
      </x:c>
    </x:row>
    <x:row r="129">
      <x:c r="A129" t="str">
        <x:v>TT-US-01</x:v>
      </x:c>
      <x:c r="B129" t="n">
        <x:v>14</x:v>
      </x:c>
      <x:c r="C129" t="str">
        <x:v>Los Angeles/Long Beach</x:v>
      </x:c>
      <x:c r="D129" t="str">
        <x:v>Chicago</x:v>
      </x:c>
      <x:c r="E129" t="str">
        <x:v>rail</x:v>
      </x:c>
      <x:c r="F129" s="22" t="n">
        <x:v>448.8</x:v>
      </x:c>
      <x:c r="G129" s="22" t="n">
        <x:v>524.8</x:v>
      </x:c>
      <x:c r="H129" t="n">
        <x:v>3</x:v>
      </x:c>
    </x:row>
    <x:row r="130">
      <x:c r="A130" t="str">
        <x:v>TT-US-01</x:v>
      </x:c>
      <x:c r="B130" t="n">
        <x:v>15</x:v>
      </x:c>
      <x:c r="C130" t="str">
        <x:v>Los Angeles/Long Beach</x:v>
      </x:c>
      <x:c r="D130" t="str">
        <x:v>Chicago</x:v>
      </x:c>
      <x:c r="E130" t="str">
        <x:v>rail</x:v>
      </x:c>
      <x:c r="F130" s="22" t="n">
        <x:v>482.4</x:v>
      </x:c>
      <x:c r="G130" s="22" t="n">
        <x:v>558.4</x:v>
      </x:c>
      <x:c r="H130" t="n">
        <x:v>3</x:v>
      </x:c>
    </x:row>
    <x:row r="131">
      <x:c r="A131" t="str">
        <x:v>TT-US-01</x:v>
      </x:c>
      <x:c r="B131" t="n">
        <x:v>16</x:v>
      </x:c>
      <x:c r="C131" t="str">
        <x:v>Los Angeles/Long Beach</x:v>
      </x:c>
      <x:c r="D131" t="str">
        <x:v>Chicago</x:v>
      </x:c>
      <x:c r="E131" t="str">
        <x:v>rail</x:v>
      </x:c>
      <x:c r="F131" s="22" t="n">
        <x:v>516</x:v>
      </x:c>
      <x:c r="G131" s="22" t="n">
        <x:v>592</x:v>
      </x:c>
      <x:c r="H131" t="n">
        <x:v>4</x:v>
      </x:c>
    </x:row>
    <x:row r="132">
      <x:c r="A132" t="str">
        <x:v>TT-US-01</x:v>
      </x:c>
      <x:c r="B132" t="n">
        <x:v>17</x:v>
      </x:c>
      <x:c r="C132" t="str">
        <x:v>Los Angeles/Long Beach</x:v>
      </x:c>
      <x:c r="D132" t="str">
        <x:v>Chicago</x:v>
      </x:c>
      <x:c r="E132" t="str">
        <x:v>rail</x:v>
      </x:c>
      <x:c r="F132" s="22" t="n">
        <x:v>549.6</x:v>
      </x:c>
      <x:c r="G132" s="22" t="n">
        <x:v>625.6</x:v>
      </x:c>
      <x:c r="H132" t="n">
        <x:v>4</x:v>
      </x:c>
    </x:row>
    <x:row r="133">
      <x:c r="A133" t="str">
        <x:v>TT-US-01</x:v>
      </x:c>
      <x:c r="B133" t="n">
        <x:v>18</x:v>
      </x:c>
      <x:c r="C133" t="str">
        <x:v>Los Angeles/Long Beach</x:v>
      </x:c>
      <x:c r="D133" t="str">
        <x:v>Chicago</x:v>
      </x:c>
      <x:c r="E133" t="str">
        <x:v>rail</x:v>
      </x:c>
      <x:c r="F133" s="22" t="n">
        <x:v>583.2</x:v>
      </x:c>
      <x:c r="G133" s="22" t="n">
        <x:v>659.2</x:v>
      </x:c>
      <x:c r="H133" t="n">
        <x:v>4</x:v>
      </x:c>
    </x:row>
    <x:row r="134">
      <x:c r="A134" t="str">
        <x:v>TT-US-01</x:v>
      </x:c>
      <x:c r="B134" t="n">
        <x:v>19</x:v>
      </x:c>
      <x:c r="C134" t="str">
        <x:v>Los Angeles/Long Beach</x:v>
      </x:c>
      <x:c r="D134" t="str">
        <x:v>Chicago</x:v>
      </x:c>
      <x:c r="E134" t="str">
        <x:v>rail</x:v>
      </x:c>
      <x:c r="F134" s="22" t="n">
        <x:v>616.8</x:v>
      </x:c>
      <x:c r="G134" s="22" t="n">
        <x:v>692.8</x:v>
      </x:c>
      <x:c r="H134" t="n">
        <x:v>4</x:v>
      </x:c>
    </x:row>
    <x:row r="135">
      <x:c r="A135" t="str">
        <x:v>TT-US-01</x:v>
      </x:c>
      <x:c r="B135" t="n">
        <x:v>20</x:v>
      </x:c>
      <x:c r="C135" t="str">
        <x:v>Los Angeles/Long Beach</x:v>
      </x:c>
      <x:c r="D135" t="str">
        <x:v>Chicago</x:v>
      </x:c>
      <x:c r="E135" t="str">
        <x:v>rail</x:v>
      </x:c>
      <x:c r="F135" s="22" t="n">
        <x:v>650.4</x:v>
      </x:c>
      <x:c r="G135" s="22" t="n">
        <x:v>726.4</x:v>
      </x:c>
      <x:c r="H135" t="n">
        <x:v>4</x:v>
      </x:c>
    </x:row>
    <x:row r="136">
      <x:c r="A136" t="str">
        <x:v>TT-US-01</x:v>
      </x:c>
      <x:c r="B136" t="n">
        <x:v>21</x:v>
      </x:c>
      <x:c r="C136" t="str">
        <x:v>Los Angeles/Long Beach</x:v>
      </x:c>
      <x:c r="D136" t="str">
        <x:v>Chicago</x:v>
      </x:c>
      <x:c r="E136" t="str">
        <x:v>rail</x:v>
      </x:c>
      <x:c r="F136" s="22" t="n">
        <x:v>684</x:v>
      </x:c>
      <x:c r="G136" s="22" t="n">
        <x:v>760</x:v>
      </x:c>
      <x:c r="H136" t="n">
        <x:v>5</x:v>
      </x:c>
    </x:row>
    <x:row r="137">
      <x:c r="A137" t="str">
        <x:v>TT-US-01</x:v>
      </x:c>
      <x:c r="B137" t="n">
        <x:v>22</x:v>
      </x:c>
      <x:c r="C137" t="str">
        <x:v>Los Angeles/Long Beach</x:v>
      </x:c>
      <x:c r="D137" t="str">
        <x:v>Chicago</x:v>
      </x:c>
      <x:c r="E137" t="str">
        <x:v>rail</x:v>
      </x:c>
      <x:c r="F137" s="22" t="n">
        <x:v>717.6</x:v>
      </x:c>
      <x:c r="G137" s="22" t="n">
        <x:v>793.6</x:v>
      </x:c>
      <x:c r="H137" t="n">
        <x:v>5</x:v>
      </x:c>
    </x:row>
    <x:row r="138">
      <x:c r="A138" t="str">
        <x:v>TT-US-01</x:v>
      </x:c>
      <x:c r="B138" t="n">
        <x:v>23</x:v>
      </x:c>
      <x:c r="C138" t="str">
        <x:v>Los Angeles/Long Beach</x:v>
      </x:c>
      <x:c r="D138" t="str">
        <x:v>Chicago</x:v>
      </x:c>
      <x:c r="E138" t="str">
        <x:v>rail</x:v>
      </x:c>
      <x:c r="F138" s="22" t="n">
        <x:v>751.2</x:v>
      </x:c>
      <x:c r="G138" s="22" t="n">
        <x:v>827.2</x:v>
      </x:c>
      <x:c r="H138" t="n">
        <x:v>5</x:v>
      </x:c>
    </x:row>
    <x:row r="139">
      <x:c r="A139" t="str">
        <x:v>TT-US-01</x:v>
      </x:c>
      <x:c r="B139" t="n">
        <x:v>24</x:v>
      </x:c>
      <x:c r="C139" t="str">
        <x:v>Los Angeles/Long Beach</x:v>
      </x:c>
      <x:c r="D139" t="str">
        <x:v>Chicago</x:v>
      </x:c>
      <x:c r="E139" t="str">
        <x:v>rail</x:v>
      </x:c>
      <x:c r="F139" s="22" t="n">
        <x:v>784.8</x:v>
      </x:c>
      <x:c r="G139" s="22" t="n">
        <x:v>860.8</x:v>
      </x:c>
      <x:c r="H139" t="n">
        <x:v>5</x:v>
      </x:c>
    </x:row>
    <x:row r="140">
      <x:c r="A140" t="str">
        <x:v>TT-US-01</x:v>
      </x:c>
      <x:c r="B140" t="n">
        <x:v>25</x:v>
      </x:c>
      <x:c r="C140" t="str">
        <x:v>Los Angeles/Long Beach</x:v>
      </x:c>
      <x:c r="D140" t="str">
        <x:v>Chicago</x:v>
      </x:c>
      <x:c r="E140" t="str">
        <x:v>rail</x:v>
      </x:c>
      <x:c r="F140" s="22" t="n">
        <x:v>818.4</x:v>
      </x:c>
      <x:c r="G140" s="22" t="n">
        <x:v>894.4</x:v>
      </x:c>
      <x:c r="H140" t="n">
        <x:v>5</x:v>
      </x:c>
    </x:row>
    <x:row r="141">
      <x:c r="A141" t="str">
        <x:v>TT-US-01</x:v>
      </x:c>
      <x:c r="B141" t="n">
        <x:v>26</x:v>
      </x:c>
      <x:c r="C141" t="str">
        <x:v>Los Angeles/Long Beach</x:v>
      </x:c>
      <x:c r="D141" t="str">
        <x:v>Chicago</x:v>
      </x:c>
      <x:c r="E141" t="str">
        <x:v>rail</x:v>
      </x:c>
      <x:c r="F141" s="22" t="n">
        <x:v>852</x:v>
      </x:c>
      <x:c r="G141" s="22" t="n">
        <x:v>928</x:v>
      </x:c>
      <x:c r="H141" t="n">
        <x:v>6</x:v>
      </x:c>
    </x:row>
    <x:row r="142">
      <x:c r="A142" t="str">
        <x:v>TT-US-01</x:v>
      </x:c>
      <x:c r="B142" t="n">
        <x:v>27</x:v>
      </x:c>
      <x:c r="C142" t="str">
        <x:v>Los Angeles/Long Beach</x:v>
      </x:c>
      <x:c r="D142" t="str">
        <x:v>Chicago</x:v>
      </x:c>
      <x:c r="E142" t="str">
        <x:v>rail</x:v>
      </x:c>
      <x:c r="F142" s="22" t="n">
        <x:v>885.6</x:v>
      </x:c>
      <x:c r="G142" s="22" t="n">
        <x:v>961.6</x:v>
      </x:c>
      <x:c r="H142" t="n">
        <x:v>6</x:v>
      </x:c>
    </x:row>
    <x:row r="143">
      <x:c r="A143" t="str">
        <x:v>TT-US-01</x:v>
      </x:c>
      <x:c r="B143" t="n">
        <x:v>28</x:v>
      </x:c>
      <x:c r="C143" t="str">
        <x:v>Los Angeles/Long Beach</x:v>
      </x:c>
      <x:c r="D143" t="str">
        <x:v>Chicago</x:v>
      </x:c>
      <x:c r="E143" t="str">
        <x:v>rail</x:v>
      </x:c>
      <x:c r="F143" s="22" t="n">
        <x:v>919.2</x:v>
      </x:c>
      <x:c r="G143" s="22" t="n">
        <x:v>995.2</x:v>
      </x:c>
      <x:c r="H143" t="n">
        <x:v>6</x:v>
      </x:c>
    </x:row>
    <x:row r="144">
      <x:c r="A144" t="str">
        <x:v>TT-US-01</x:v>
      </x:c>
      <x:c r="B144" t="n">
        <x:v>29</x:v>
      </x:c>
      <x:c r="C144" t="str">
        <x:v>Los Angeles/Long Beach</x:v>
      </x:c>
      <x:c r="D144" t="str">
        <x:v>Chicago</x:v>
      </x:c>
      <x:c r="E144" t="str">
        <x:v>rail</x:v>
      </x:c>
      <x:c r="F144" s="22" t="n">
        <x:v>952.8</x:v>
      </x:c>
      <x:c r="G144" s="22" t="n">
        <x:v>1028.8</x:v>
      </x:c>
      <x:c r="H144" t="n">
        <x:v>6</x:v>
      </x:c>
    </x:row>
    <x:row r="145">
      <x:c r="A145" t="str">
        <x:v>TT-US-01</x:v>
      </x:c>
      <x:c r="B145" t="n">
        <x:v>30</x:v>
      </x:c>
      <x:c r="C145" t="str">
        <x:v>Los Angeles/Long Beach</x:v>
      </x:c>
      <x:c r="D145" t="str">
        <x:v>Chicago</x:v>
      </x:c>
      <x:c r="E145" t="str">
        <x:v>rail</x:v>
      </x:c>
      <x:c r="F145" s="22" t="n">
        <x:v>986.4</x:v>
      </x:c>
      <x:c r="G145" s="22" t="n">
        <x:v>1062.4</x:v>
      </x:c>
      <x:c r="H145" t="n">
        <x:v>6</x:v>
      </x:c>
    </x:row>
    <x:row r="146">
      <x:c r="A146" t="str">
        <x:v>TT-US-01</x:v>
      </x:c>
      <x:c r="B146" t="n">
        <x:v>31</x:v>
      </x:c>
      <x:c r="C146" t="str">
        <x:v>Los Angeles/Long Beach</x:v>
      </x:c>
      <x:c r="D146" t="str">
        <x:v>Chicago</x:v>
      </x:c>
      <x:c r="E146" t="str">
        <x:v>rail</x:v>
      </x:c>
      <x:c r="F146" s="22" t="n">
        <x:v>1020</x:v>
      </x:c>
      <x:c r="G146" s="22" t="n">
        <x:v>1096</x:v>
      </x:c>
      <x:c r="H146" t="n">
        <x:v>7</x:v>
      </x:c>
    </x:row>
    <x:row r="147">
      <x:c r="A147" t="str">
        <x:v>TT-US-01</x:v>
      </x:c>
      <x:c r="B147" t="n">
        <x:v>32</x:v>
      </x:c>
      <x:c r="C147" t="str">
        <x:v>Los Angeles/Long Beach</x:v>
      </x:c>
      <x:c r="D147" t="str">
        <x:v>Chicago</x:v>
      </x:c>
      <x:c r="E147" t="str">
        <x:v>rail</x:v>
      </x:c>
      <x:c r="F147" s="22" t="n">
        <x:v>1053.6</x:v>
      </x:c>
      <x:c r="G147" s="22" t="n">
        <x:v>1129.6</x:v>
      </x:c>
      <x:c r="H147" t="n">
        <x:v>7</x:v>
      </x:c>
    </x:row>
    <x:row r="148">
      <x:c r="A148" t="str">
        <x:v>TT-US-01</x:v>
      </x:c>
      <x:c r="B148" t="n">
        <x:v>33</x:v>
      </x:c>
      <x:c r="C148" t="str">
        <x:v>Los Angeles/Long Beach</x:v>
      </x:c>
      <x:c r="D148" t="str">
        <x:v>Chicago</x:v>
      </x:c>
      <x:c r="E148" t="str">
        <x:v>rail</x:v>
      </x:c>
      <x:c r="F148" s="22" t="n">
        <x:v>1087.2</x:v>
      </x:c>
      <x:c r="G148" s="22" t="n">
        <x:v>1163.2</x:v>
      </x:c>
      <x:c r="H148" t="n">
        <x:v>7</x:v>
      </x:c>
    </x:row>
    <x:row r="149">
      <x:c r="A149" t="str">
        <x:v>TT-US-01</x:v>
      </x:c>
      <x:c r="B149" t="n">
        <x:v>34</x:v>
      </x:c>
      <x:c r="C149" t="str">
        <x:v>Los Angeles/Long Beach</x:v>
      </x:c>
      <x:c r="D149" t="str">
        <x:v>Chicago</x:v>
      </x:c>
      <x:c r="E149" t="str">
        <x:v>rail</x:v>
      </x:c>
      <x:c r="F149" s="22" t="n">
        <x:v>1120.8</x:v>
      </x:c>
      <x:c r="G149" s="22" t="n">
        <x:v>1196.8</x:v>
      </x:c>
      <x:c r="H149" t="n">
        <x:v>7</x:v>
      </x:c>
    </x:row>
    <x:row r="150">
      <x:c r="A150" t="str">
        <x:v>TT-US-01</x:v>
      </x:c>
      <x:c r="B150" t="n">
        <x:v>35</x:v>
      </x:c>
      <x:c r="C150" t="str">
        <x:v>Los Angeles/Long Beach</x:v>
      </x:c>
      <x:c r="D150" t="str">
        <x:v>Chicago</x:v>
      </x:c>
      <x:c r="E150" t="str">
        <x:v>rail</x:v>
      </x:c>
      <x:c r="F150" s="22" t="n">
        <x:v>1154.4</x:v>
      </x:c>
      <x:c r="G150" s="22" t="n">
        <x:v>1230.4</x:v>
      </x:c>
      <x:c r="H150" t="n">
        <x:v>7</x:v>
      </x:c>
    </x:row>
    <x:row r="151">
      <x:c r="A151" t="str">
        <x:v>TT-US-01</x:v>
      </x:c>
      <x:c r="B151" t="n">
        <x:v>36</x:v>
      </x:c>
      <x:c r="C151" t="str">
        <x:v>Los Angeles/Long Beach</x:v>
      </x:c>
      <x:c r="D151" t="str">
        <x:v>Chicago</x:v>
      </x:c>
      <x:c r="E151" t="str">
        <x:v>rail</x:v>
      </x:c>
      <x:c r="F151" s="22" t="n">
        <x:v>1188</x:v>
      </x:c>
      <x:c r="G151" s="22" t="n">
        <x:v>1264</x:v>
      </x:c>
      <x:c r="H151" t="n">
        <x:v>8</x:v>
      </x:c>
    </x:row>
    <x:row r="152">
      <x:c r="A152" t="str">
        <x:v>TT-US-01</x:v>
      </x:c>
      <x:c r="B152" t="n">
        <x:v>37</x:v>
      </x:c>
      <x:c r="C152" t="str">
        <x:v>Los Angeles/Long Beach</x:v>
      </x:c>
      <x:c r="D152" t="str">
        <x:v>Chicago</x:v>
      </x:c>
      <x:c r="E152" t="str">
        <x:v>rail</x:v>
      </x:c>
      <x:c r="F152" s="22" t="n">
        <x:v>1221.6</x:v>
      </x:c>
      <x:c r="G152" s="22" t="n">
        <x:v>1297.6</x:v>
      </x:c>
      <x:c r="H152" t="n">
        <x:v>8</x:v>
      </x:c>
    </x:row>
    <x:row r="153">
      <x:c r="A153" t="str">
        <x:v>TT-US-01</x:v>
      </x:c>
      <x:c r="B153" t="n">
        <x:v>38</x:v>
      </x:c>
      <x:c r="C153" t="str">
        <x:v>Los Angeles/Long Beach</x:v>
      </x:c>
      <x:c r="D153" t="str">
        <x:v>Chicago</x:v>
      </x:c>
      <x:c r="E153" t="str">
        <x:v>rail</x:v>
      </x:c>
      <x:c r="F153" s="22" t="n">
        <x:v>1255.2</x:v>
      </x:c>
      <x:c r="G153" s="22" t="n">
        <x:v>1331.2</x:v>
      </x:c>
      <x:c r="H153" t="n">
        <x:v>8</x:v>
      </x:c>
    </x:row>
    <x:row r="154">
      <x:c r="A154" t="str">
        <x:v>TT-US-01</x:v>
      </x:c>
      <x:c r="B154" t="n">
        <x:v>39</x:v>
      </x:c>
      <x:c r="C154" t="str">
        <x:v>Los Angeles/Long Beach</x:v>
      </x:c>
      <x:c r="D154" t="str">
        <x:v>Chicago</x:v>
      </x:c>
      <x:c r="E154" t="str">
        <x:v>rail</x:v>
      </x:c>
      <x:c r="F154" s="22" t="n">
        <x:v>1288.8</x:v>
      </x:c>
      <x:c r="G154" s="22" t="n">
        <x:v>1364.8</x:v>
      </x:c>
      <x:c r="H154" t="n">
        <x:v>8</x:v>
      </x:c>
    </x:row>
    <x:row r="155">
      <x:c r="A155" t="str">
        <x:v>TT-US-01</x:v>
      </x:c>
      <x:c r="B155" t="n">
        <x:v>40</x:v>
      </x:c>
      <x:c r="C155" t="str">
        <x:v>Los Angeles/Long Beach</x:v>
      </x:c>
      <x:c r="D155" t="str">
        <x:v>Chicago</x:v>
      </x:c>
      <x:c r="E155" t="str">
        <x:v>rail</x:v>
      </x:c>
      <x:c r="F155" s="22" t="n">
        <x:v>1322.4</x:v>
      </x:c>
      <x:c r="G155" s="22" t="n">
        <x:v>1398.4</x:v>
      </x:c>
      <x:c r="H155" t="n">
        <x:v>8</x:v>
      </x:c>
    </x:row>
    <x:row r="156">
      <x:c r="A156" t="str">
        <x:v>TT-US-02</x:v>
      </x:c>
      <x:c r="B156" t="n">
        <x:v>1</x:v>
      </x:c>
      <x:c r="C156" t="str">
        <x:v>Los Angeles/Long Beach</x:v>
      </x:c>
      <x:c r="D156" t="str">
        <x:v>Memphis</x:v>
      </x:c>
      <x:c r="E156" t="str">
        <x:v>rail</x:v>
      </x:c>
      <x:c r="F156" s="22" t="n">
        <x:v>12</x:v>
      </x:c>
      <x:c r="G156" s="22" t="n">
        <x:v>108</x:v>
      </x:c>
      <x:c r="H156" t="n">
        <x:v>1</x:v>
      </x:c>
    </x:row>
    <x:row r="157">
      <x:c r="A157" t="str">
        <x:v>TT-US-02</x:v>
      </x:c>
      <x:c r="B157" t="n">
        <x:v>2</x:v>
      </x:c>
      <x:c r="C157" t="str">
        <x:v>Los Angeles/Long Beach</x:v>
      </x:c>
      <x:c r="D157" t="str">
        <x:v>Memphis</x:v>
      </x:c>
      <x:c r="E157" t="str">
        <x:v>rail</x:v>
      </x:c>
      <x:c r="F157" s="22" t="n">
        <x:v>45.6</x:v>
      </x:c>
      <x:c r="G157" s="22" t="n">
        <x:v>141.6</x:v>
      </x:c>
      <x:c r="H157" t="n">
        <x:v>1</x:v>
      </x:c>
    </x:row>
    <x:row r="158">
      <x:c r="A158" t="str">
        <x:v>TT-US-02</x:v>
      </x:c>
      <x:c r="B158" t="n">
        <x:v>3</x:v>
      </x:c>
      <x:c r="C158" t="str">
        <x:v>Los Angeles/Long Beach</x:v>
      </x:c>
      <x:c r="D158" t="str">
        <x:v>Memphis</x:v>
      </x:c>
      <x:c r="E158" t="str">
        <x:v>rail</x:v>
      </x:c>
      <x:c r="F158" s="22" t="n">
        <x:v>79.2</x:v>
      </x:c>
      <x:c r="G158" s="22" t="n">
        <x:v>175.2</x:v>
      </x:c>
      <x:c r="H158" t="n">
        <x:v>1</x:v>
      </x:c>
    </x:row>
    <x:row r="159">
      <x:c r="A159" t="str">
        <x:v>TT-US-02</x:v>
      </x:c>
      <x:c r="B159" t="n">
        <x:v>4</x:v>
      </x:c>
      <x:c r="C159" t="str">
        <x:v>Los Angeles/Long Beach</x:v>
      </x:c>
      <x:c r="D159" t="str">
        <x:v>Memphis</x:v>
      </x:c>
      <x:c r="E159" t="str">
        <x:v>rail</x:v>
      </x:c>
      <x:c r="F159" s="22" t="n">
        <x:v>112.8</x:v>
      </x:c>
      <x:c r="G159" s="22" t="n">
        <x:v>208.8</x:v>
      </x:c>
      <x:c r="H159" t="n">
        <x:v>1</x:v>
      </x:c>
    </x:row>
    <x:row r="160">
      <x:c r="A160" t="str">
        <x:v>TT-US-02</x:v>
      </x:c>
      <x:c r="B160" t="n">
        <x:v>5</x:v>
      </x:c>
      <x:c r="C160" t="str">
        <x:v>Los Angeles/Long Beach</x:v>
      </x:c>
      <x:c r="D160" t="str">
        <x:v>Memphis</x:v>
      </x:c>
      <x:c r="E160" t="str">
        <x:v>rail</x:v>
      </x:c>
      <x:c r="F160" s="22" t="n">
        <x:v>146.4</x:v>
      </x:c>
      <x:c r="G160" s="22" t="n">
        <x:v>242.4</x:v>
      </x:c>
      <x:c r="H160" t="n">
        <x:v>1</x:v>
      </x:c>
    </x:row>
    <x:row r="161">
      <x:c r="A161" t="str">
        <x:v>TT-US-02</x:v>
      </x:c>
      <x:c r="B161" t="n">
        <x:v>6</x:v>
      </x:c>
      <x:c r="C161" t="str">
        <x:v>Los Angeles/Long Beach</x:v>
      </x:c>
      <x:c r="D161" t="str">
        <x:v>Memphis</x:v>
      </x:c>
      <x:c r="E161" t="str">
        <x:v>rail</x:v>
      </x:c>
      <x:c r="F161" s="22" t="n">
        <x:v>180</x:v>
      </x:c>
      <x:c r="G161" s="22" t="n">
        <x:v>276</x:v>
      </x:c>
      <x:c r="H161" t="n">
        <x:v>2</x:v>
      </x:c>
    </x:row>
    <x:row r="162">
      <x:c r="A162" t="str">
        <x:v>TT-US-02</x:v>
      </x:c>
      <x:c r="B162" t="n">
        <x:v>7</x:v>
      </x:c>
      <x:c r="C162" t="str">
        <x:v>Los Angeles/Long Beach</x:v>
      </x:c>
      <x:c r="D162" t="str">
        <x:v>Memphis</x:v>
      </x:c>
      <x:c r="E162" t="str">
        <x:v>rail</x:v>
      </x:c>
      <x:c r="F162" s="22" t="n">
        <x:v>213.6</x:v>
      </x:c>
      <x:c r="G162" s="22" t="n">
        <x:v>309.6</x:v>
      </x:c>
      <x:c r="H162" t="n">
        <x:v>2</x:v>
      </x:c>
    </x:row>
    <x:row r="163">
      <x:c r="A163" t="str">
        <x:v>TT-US-02</x:v>
      </x:c>
      <x:c r="B163" t="n">
        <x:v>8</x:v>
      </x:c>
      <x:c r="C163" t="str">
        <x:v>Los Angeles/Long Beach</x:v>
      </x:c>
      <x:c r="D163" t="str">
        <x:v>Memphis</x:v>
      </x:c>
      <x:c r="E163" t="str">
        <x:v>rail</x:v>
      </x:c>
      <x:c r="F163" s="22" t="n">
        <x:v>247.2</x:v>
      </x:c>
      <x:c r="G163" s="22" t="n">
        <x:v>343.2</x:v>
      </x:c>
      <x:c r="H163" t="n">
        <x:v>2</x:v>
      </x:c>
    </x:row>
    <x:row r="164">
      <x:c r="A164" t="str">
        <x:v>TT-US-02</x:v>
      </x:c>
      <x:c r="B164" t="n">
        <x:v>9</x:v>
      </x:c>
      <x:c r="C164" t="str">
        <x:v>Los Angeles/Long Beach</x:v>
      </x:c>
      <x:c r="D164" t="str">
        <x:v>Memphis</x:v>
      </x:c>
      <x:c r="E164" t="str">
        <x:v>rail</x:v>
      </x:c>
      <x:c r="F164" s="22" t="n">
        <x:v>280.8</x:v>
      </x:c>
      <x:c r="G164" s="22" t="n">
        <x:v>376.8</x:v>
      </x:c>
      <x:c r="H164" t="n">
        <x:v>2</x:v>
      </x:c>
    </x:row>
    <x:row r="165">
      <x:c r="A165" t="str">
        <x:v>TT-US-02</x:v>
      </x:c>
      <x:c r="B165" t="n">
        <x:v>10</x:v>
      </x:c>
      <x:c r="C165" t="str">
        <x:v>Los Angeles/Long Beach</x:v>
      </x:c>
      <x:c r="D165" t="str">
        <x:v>Memphis</x:v>
      </x:c>
      <x:c r="E165" t="str">
        <x:v>rail</x:v>
      </x:c>
      <x:c r="F165" s="22" t="n">
        <x:v>314.4</x:v>
      </x:c>
      <x:c r="G165" s="22" t="n">
        <x:v>410.4</x:v>
      </x:c>
      <x:c r="H165" t="n">
        <x:v>2</x:v>
      </x:c>
    </x:row>
    <x:row r="166">
      <x:c r="A166" t="str">
        <x:v>TT-US-02</x:v>
      </x:c>
      <x:c r="B166" t="n">
        <x:v>11</x:v>
      </x:c>
      <x:c r="C166" t="str">
        <x:v>Los Angeles/Long Beach</x:v>
      </x:c>
      <x:c r="D166" t="str">
        <x:v>Memphis</x:v>
      </x:c>
      <x:c r="E166" t="str">
        <x:v>rail</x:v>
      </x:c>
      <x:c r="F166" s="22" t="n">
        <x:v>348</x:v>
      </x:c>
      <x:c r="G166" s="22" t="n">
        <x:v>444</x:v>
      </x:c>
      <x:c r="H166" t="n">
        <x:v>3</x:v>
      </x:c>
    </x:row>
    <x:row r="167">
      <x:c r="A167" t="str">
        <x:v>TT-US-02</x:v>
      </x:c>
      <x:c r="B167" t="n">
        <x:v>12</x:v>
      </x:c>
      <x:c r="C167" t="str">
        <x:v>Los Angeles/Long Beach</x:v>
      </x:c>
      <x:c r="D167" t="str">
        <x:v>Memphis</x:v>
      </x:c>
      <x:c r="E167" t="str">
        <x:v>rail</x:v>
      </x:c>
      <x:c r="F167" s="22" t="n">
        <x:v>381.6</x:v>
      </x:c>
      <x:c r="G167" s="22" t="n">
        <x:v>477.6</x:v>
      </x:c>
      <x:c r="H167" t="n">
        <x:v>3</x:v>
      </x:c>
    </x:row>
    <x:row r="168">
      <x:c r="A168" t="str">
        <x:v>TT-US-02</x:v>
      </x:c>
      <x:c r="B168" t="n">
        <x:v>13</x:v>
      </x:c>
      <x:c r="C168" t="str">
        <x:v>Los Angeles/Long Beach</x:v>
      </x:c>
      <x:c r="D168" t="str">
        <x:v>Memphis</x:v>
      </x:c>
      <x:c r="E168" t="str">
        <x:v>rail</x:v>
      </x:c>
      <x:c r="F168" s="22" t="n">
        <x:v>415.2</x:v>
      </x:c>
      <x:c r="G168" s="22" t="n">
        <x:v>511.2</x:v>
      </x:c>
      <x:c r="H168" t="n">
        <x:v>3</x:v>
      </x:c>
    </x:row>
    <x:row r="169">
      <x:c r="A169" t="str">
        <x:v>TT-US-02</x:v>
      </x:c>
      <x:c r="B169" t="n">
        <x:v>14</x:v>
      </x:c>
      <x:c r="C169" t="str">
        <x:v>Los Angeles/Long Beach</x:v>
      </x:c>
      <x:c r="D169" t="str">
        <x:v>Memphis</x:v>
      </x:c>
      <x:c r="E169" t="str">
        <x:v>rail</x:v>
      </x:c>
      <x:c r="F169" s="22" t="n">
        <x:v>448.8</x:v>
      </x:c>
      <x:c r="G169" s="22" t="n">
        <x:v>544.8</x:v>
      </x:c>
      <x:c r="H169" t="n">
        <x:v>3</x:v>
      </x:c>
    </x:row>
    <x:row r="170">
      <x:c r="A170" t="str">
        <x:v>TT-US-02</x:v>
      </x:c>
      <x:c r="B170" t="n">
        <x:v>15</x:v>
      </x:c>
      <x:c r="C170" t="str">
        <x:v>Los Angeles/Long Beach</x:v>
      </x:c>
      <x:c r="D170" t="str">
        <x:v>Memphis</x:v>
      </x:c>
      <x:c r="E170" t="str">
        <x:v>rail</x:v>
      </x:c>
      <x:c r="F170" s="22" t="n">
        <x:v>482.4</x:v>
      </x:c>
      <x:c r="G170" s="22" t="n">
        <x:v>578.4</x:v>
      </x:c>
      <x:c r="H170" t="n">
        <x:v>3</x:v>
      </x:c>
    </x:row>
    <x:row r="171">
      <x:c r="A171" t="str">
        <x:v>TT-US-02</x:v>
      </x:c>
      <x:c r="B171" t="n">
        <x:v>16</x:v>
      </x:c>
      <x:c r="C171" t="str">
        <x:v>Los Angeles/Long Beach</x:v>
      </x:c>
      <x:c r="D171" t="str">
        <x:v>Memphis</x:v>
      </x:c>
      <x:c r="E171" t="str">
        <x:v>rail</x:v>
      </x:c>
      <x:c r="F171" s="22" t="n">
        <x:v>516</x:v>
      </x:c>
      <x:c r="G171" s="22" t="n">
        <x:v>612</x:v>
      </x:c>
      <x:c r="H171" t="n">
        <x:v>4</x:v>
      </x:c>
    </x:row>
    <x:row r="172">
      <x:c r="A172" t="str">
        <x:v>TT-US-02</x:v>
      </x:c>
      <x:c r="B172" t="n">
        <x:v>17</x:v>
      </x:c>
      <x:c r="C172" t="str">
        <x:v>Los Angeles/Long Beach</x:v>
      </x:c>
      <x:c r="D172" t="str">
        <x:v>Memphis</x:v>
      </x:c>
      <x:c r="E172" t="str">
        <x:v>rail</x:v>
      </x:c>
      <x:c r="F172" s="22" t="n">
        <x:v>549.6</x:v>
      </x:c>
      <x:c r="G172" s="22" t="n">
        <x:v>645.6</x:v>
      </x:c>
      <x:c r="H172" t="n">
        <x:v>4</x:v>
      </x:c>
    </x:row>
    <x:row r="173">
      <x:c r="A173" t="str">
        <x:v>TT-US-02</x:v>
      </x:c>
      <x:c r="B173" t="n">
        <x:v>18</x:v>
      </x:c>
      <x:c r="C173" t="str">
        <x:v>Los Angeles/Long Beach</x:v>
      </x:c>
      <x:c r="D173" t="str">
        <x:v>Memphis</x:v>
      </x:c>
      <x:c r="E173" t="str">
        <x:v>rail</x:v>
      </x:c>
      <x:c r="F173" s="22" t="n">
        <x:v>583.2</x:v>
      </x:c>
      <x:c r="G173" s="22" t="n">
        <x:v>679.2</x:v>
      </x:c>
      <x:c r="H173" t="n">
        <x:v>4</x:v>
      </x:c>
    </x:row>
    <x:row r="174">
      <x:c r="A174" t="str">
        <x:v>TT-US-02</x:v>
      </x:c>
      <x:c r="B174" t="n">
        <x:v>19</x:v>
      </x:c>
      <x:c r="C174" t="str">
        <x:v>Los Angeles/Long Beach</x:v>
      </x:c>
      <x:c r="D174" t="str">
        <x:v>Memphis</x:v>
      </x:c>
      <x:c r="E174" t="str">
        <x:v>rail</x:v>
      </x:c>
      <x:c r="F174" s="22" t="n">
        <x:v>616.8</x:v>
      </x:c>
      <x:c r="G174" s="22" t="n">
        <x:v>712.8</x:v>
      </x:c>
      <x:c r="H174" t="n">
        <x:v>4</x:v>
      </x:c>
    </x:row>
    <x:row r="175">
      <x:c r="A175" t="str">
        <x:v>TT-US-02</x:v>
      </x:c>
      <x:c r="B175" t="n">
        <x:v>20</x:v>
      </x:c>
      <x:c r="C175" t="str">
        <x:v>Los Angeles/Long Beach</x:v>
      </x:c>
      <x:c r="D175" t="str">
        <x:v>Memphis</x:v>
      </x:c>
      <x:c r="E175" t="str">
        <x:v>rail</x:v>
      </x:c>
      <x:c r="F175" s="22" t="n">
        <x:v>650.4</x:v>
      </x:c>
      <x:c r="G175" s="22" t="n">
        <x:v>746.4</x:v>
      </x:c>
      <x:c r="H175" t="n">
        <x:v>4</x:v>
      </x:c>
    </x:row>
    <x:row r="176">
      <x:c r="A176" t="str">
        <x:v>TT-US-02</x:v>
      </x:c>
      <x:c r="B176" t="n">
        <x:v>21</x:v>
      </x:c>
      <x:c r="C176" t="str">
        <x:v>Los Angeles/Long Beach</x:v>
      </x:c>
      <x:c r="D176" t="str">
        <x:v>Memphis</x:v>
      </x:c>
      <x:c r="E176" t="str">
        <x:v>rail</x:v>
      </x:c>
      <x:c r="F176" s="22" t="n">
        <x:v>684</x:v>
      </x:c>
      <x:c r="G176" s="22" t="n">
        <x:v>780</x:v>
      </x:c>
      <x:c r="H176" t="n">
        <x:v>5</x:v>
      </x:c>
    </x:row>
    <x:row r="177">
      <x:c r="A177" t="str">
        <x:v>TT-US-02</x:v>
      </x:c>
      <x:c r="B177" t="n">
        <x:v>22</x:v>
      </x:c>
      <x:c r="C177" t="str">
        <x:v>Los Angeles/Long Beach</x:v>
      </x:c>
      <x:c r="D177" t="str">
        <x:v>Memphis</x:v>
      </x:c>
      <x:c r="E177" t="str">
        <x:v>rail</x:v>
      </x:c>
      <x:c r="F177" s="22" t="n">
        <x:v>717.6</x:v>
      </x:c>
      <x:c r="G177" s="22" t="n">
        <x:v>813.6</x:v>
      </x:c>
      <x:c r="H177" t="n">
        <x:v>5</x:v>
      </x:c>
    </x:row>
    <x:row r="178">
      <x:c r="A178" t="str">
        <x:v>TT-US-02</x:v>
      </x:c>
      <x:c r="B178" t="n">
        <x:v>23</x:v>
      </x:c>
      <x:c r="C178" t="str">
        <x:v>Los Angeles/Long Beach</x:v>
      </x:c>
      <x:c r="D178" t="str">
        <x:v>Memphis</x:v>
      </x:c>
      <x:c r="E178" t="str">
        <x:v>rail</x:v>
      </x:c>
      <x:c r="F178" s="22" t="n">
        <x:v>751.2</x:v>
      </x:c>
      <x:c r="G178" s="22" t="n">
        <x:v>847.2</x:v>
      </x:c>
      <x:c r="H178" t="n">
        <x:v>5</x:v>
      </x:c>
    </x:row>
    <x:row r="179">
      <x:c r="A179" t="str">
        <x:v>TT-US-02</x:v>
      </x:c>
      <x:c r="B179" t="n">
        <x:v>24</x:v>
      </x:c>
      <x:c r="C179" t="str">
        <x:v>Los Angeles/Long Beach</x:v>
      </x:c>
      <x:c r="D179" t="str">
        <x:v>Memphis</x:v>
      </x:c>
      <x:c r="E179" t="str">
        <x:v>rail</x:v>
      </x:c>
      <x:c r="F179" s="22" t="n">
        <x:v>784.8</x:v>
      </x:c>
      <x:c r="G179" s="22" t="n">
        <x:v>880.8</x:v>
      </x:c>
      <x:c r="H179" t="n">
        <x:v>5</x:v>
      </x:c>
    </x:row>
    <x:row r="180">
      <x:c r="A180" t="str">
        <x:v>TT-US-02</x:v>
      </x:c>
      <x:c r="B180" t="n">
        <x:v>25</x:v>
      </x:c>
      <x:c r="C180" t="str">
        <x:v>Los Angeles/Long Beach</x:v>
      </x:c>
      <x:c r="D180" t="str">
        <x:v>Memphis</x:v>
      </x:c>
      <x:c r="E180" t="str">
        <x:v>rail</x:v>
      </x:c>
      <x:c r="F180" s="22" t="n">
        <x:v>818.4</x:v>
      </x:c>
      <x:c r="G180" s="22" t="n">
        <x:v>914.4</x:v>
      </x:c>
      <x:c r="H180" t="n">
        <x:v>5</x:v>
      </x:c>
    </x:row>
    <x:row r="181">
      <x:c r="A181" t="str">
        <x:v>TT-US-02</x:v>
      </x:c>
      <x:c r="B181" t="n">
        <x:v>26</x:v>
      </x:c>
      <x:c r="C181" t="str">
        <x:v>Los Angeles/Long Beach</x:v>
      </x:c>
      <x:c r="D181" t="str">
        <x:v>Memphis</x:v>
      </x:c>
      <x:c r="E181" t="str">
        <x:v>rail</x:v>
      </x:c>
      <x:c r="F181" s="22" t="n">
        <x:v>852</x:v>
      </x:c>
      <x:c r="G181" s="22" t="n">
        <x:v>948</x:v>
      </x:c>
      <x:c r="H181" t="n">
        <x:v>6</x:v>
      </x:c>
    </x:row>
    <x:row r="182">
      <x:c r="A182" t="str">
        <x:v>TT-US-02</x:v>
      </x:c>
      <x:c r="B182" t="n">
        <x:v>27</x:v>
      </x:c>
      <x:c r="C182" t="str">
        <x:v>Los Angeles/Long Beach</x:v>
      </x:c>
      <x:c r="D182" t="str">
        <x:v>Memphis</x:v>
      </x:c>
      <x:c r="E182" t="str">
        <x:v>rail</x:v>
      </x:c>
      <x:c r="F182" s="22" t="n">
        <x:v>885.6</x:v>
      </x:c>
      <x:c r="G182" s="22" t="n">
        <x:v>981.6</x:v>
      </x:c>
      <x:c r="H182" t="n">
        <x:v>6</x:v>
      </x:c>
    </x:row>
    <x:row r="183">
      <x:c r="A183" t="str">
        <x:v>TT-US-02</x:v>
      </x:c>
      <x:c r="B183" t="n">
        <x:v>28</x:v>
      </x:c>
      <x:c r="C183" t="str">
        <x:v>Los Angeles/Long Beach</x:v>
      </x:c>
      <x:c r="D183" t="str">
        <x:v>Memphis</x:v>
      </x:c>
      <x:c r="E183" t="str">
        <x:v>rail</x:v>
      </x:c>
      <x:c r="F183" s="22" t="n">
        <x:v>919.2</x:v>
      </x:c>
      <x:c r="G183" s="22" t="n">
        <x:v>1015.2</x:v>
      </x:c>
      <x:c r="H183" t="n">
        <x:v>6</x:v>
      </x:c>
    </x:row>
    <x:row r="184">
      <x:c r="A184" t="str">
        <x:v>TT-US-02</x:v>
      </x:c>
      <x:c r="B184" t="n">
        <x:v>29</x:v>
      </x:c>
      <x:c r="C184" t="str">
        <x:v>Los Angeles/Long Beach</x:v>
      </x:c>
      <x:c r="D184" t="str">
        <x:v>Memphis</x:v>
      </x:c>
      <x:c r="E184" t="str">
        <x:v>rail</x:v>
      </x:c>
      <x:c r="F184" s="22" t="n">
        <x:v>952.8</x:v>
      </x:c>
      <x:c r="G184" s="22" t="n">
        <x:v>1048.8</x:v>
      </x:c>
      <x:c r="H184" t="n">
        <x:v>6</x:v>
      </x:c>
    </x:row>
    <x:row r="185">
      <x:c r="A185" t="str">
        <x:v>TT-US-02</x:v>
      </x:c>
      <x:c r="B185" t="n">
        <x:v>30</x:v>
      </x:c>
      <x:c r="C185" t="str">
        <x:v>Los Angeles/Long Beach</x:v>
      </x:c>
      <x:c r="D185" t="str">
        <x:v>Memphis</x:v>
      </x:c>
      <x:c r="E185" t="str">
        <x:v>rail</x:v>
      </x:c>
      <x:c r="F185" s="22" t="n">
        <x:v>986.4</x:v>
      </x:c>
      <x:c r="G185" s="22" t="n">
        <x:v>1082.4</x:v>
      </x:c>
      <x:c r="H185" t="n">
        <x:v>6</x:v>
      </x:c>
    </x:row>
    <x:row r="186">
      <x:c r="A186" t="str">
        <x:v>TT-US-02</x:v>
      </x:c>
      <x:c r="B186" t="n">
        <x:v>31</x:v>
      </x:c>
      <x:c r="C186" t="str">
        <x:v>Los Angeles/Long Beach</x:v>
      </x:c>
      <x:c r="D186" t="str">
        <x:v>Memphis</x:v>
      </x:c>
      <x:c r="E186" t="str">
        <x:v>rail</x:v>
      </x:c>
      <x:c r="F186" s="22" t="n">
        <x:v>1020</x:v>
      </x:c>
      <x:c r="G186" s="22" t="n">
        <x:v>1116</x:v>
      </x:c>
      <x:c r="H186" t="n">
        <x:v>7</x:v>
      </x:c>
    </x:row>
    <x:row r="187">
      <x:c r="A187" t="str">
        <x:v>TT-US-02</x:v>
      </x:c>
      <x:c r="B187" t="n">
        <x:v>32</x:v>
      </x:c>
      <x:c r="C187" t="str">
        <x:v>Los Angeles/Long Beach</x:v>
      </x:c>
      <x:c r="D187" t="str">
        <x:v>Memphis</x:v>
      </x:c>
      <x:c r="E187" t="str">
        <x:v>rail</x:v>
      </x:c>
      <x:c r="F187" s="22" t="n">
        <x:v>1053.6</x:v>
      </x:c>
      <x:c r="G187" s="22" t="n">
        <x:v>1149.6</x:v>
      </x:c>
      <x:c r="H187" t="n">
        <x:v>7</x:v>
      </x:c>
    </x:row>
    <x:row r="188">
      <x:c r="A188" t="str">
        <x:v>TT-US-02</x:v>
      </x:c>
      <x:c r="B188" t="n">
        <x:v>33</x:v>
      </x:c>
      <x:c r="C188" t="str">
        <x:v>Los Angeles/Long Beach</x:v>
      </x:c>
      <x:c r="D188" t="str">
        <x:v>Memphis</x:v>
      </x:c>
      <x:c r="E188" t="str">
        <x:v>rail</x:v>
      </x:c>
      <x:c r="F188" s="22" t="n">
        <x:v>1087.2</x:v>
      </x:c>
      <x:c r="G188" s="22" t="n">
        <x:v>1183.2</x:v>
      </x:c>
      <x:c r="H188" t="n">
        <x:v>7</x:v>
      </x:c>
    </x:row>
    <x:row r="189">
      <x:c r="A189" t="str">
        <x:v>TT-US-02</x:v>
      </x:c>
      <x:c r="B189" t="n">
        <x:v>34</x:v>
      </x:c>
      <x:c r="C189" t="str">
        <x:v>Los Angeles/Long Beach</x:v>
      </x:c>
      <x:c r="D189" t="str">
        <x:v>Memphis</x:v>
      </x:c>
      <x:c r="E189" t="str">
        <x:v>rail</x:v>
      </x:c>
      <x:c r="F189" s="22" t="n">
        <x:v>1120.8</x:v>
      </x:c>
      <x:c r="G189" s="22" t="n">
        <x:v>1216.8</x:v>
      </x:c>
      <x:c r="H189" t="n">
        <x:v>7</x:v>
      </x:c>
    </x:row>
    <x:row r="190">
      <x:c r="A190" t="str">
        <x:v>TT-US-02</x:v>
      </x:c>
      <x:c r="B190" t="n">
        <x:v>35</x:v>
      </x:c>
      <x:c r="C190" t="str">
        <x:v>Los Angeles/Long Beach</x:v>
      </x:c>
      <x:c r="D190" t="str">
        <x:v>Memphis</x:v>
      </x:c>
      <x:c r="E190" t="str">
        <x:v>rail</x:v>
      </x:c>
      <x:c r="F190" s="22" t="n">
        <x:v>1154.4</x:v>
      </x:c>
      <x:c r="G190" s="22" t="n">
        <x:v>1250.4</x:v>
      </x:c>
      <x:c r="H190" t="n">
        <x:v>7</x:v>
      </x:c>
    </x:row>
    <x:row r="191">
      <x:c r="A191" t="str">
        <x:v>TT-US-02</x:v>
      </x:c>
      <x:c r="B191" t="n">
        <x:v>36</x:v>
      </x:c>
      <x:c r="C191" t="str">
        <x:v>Los Angeles/Long Beach</x:v>
      </x:c>
      <x:c r="D191" t="str">
        <x:v>Memphis</x:v>
      </x:c>
      <x:c r="E191" t="str">
        <x:v>rail</x:v>
      </x:c>
      <x:c r="F191" s="22" t="n">
        <x:v>1188</x:v>
      </x:c>
      <x:c r="G191" s="22" t="n">
        <x:v>1284</x:v>
      </x:c>
      <x:c r="H191" t="n">
        <x:v>8</x:v>
      </x:c>
    </x:row>
    <x:row r="192">
      <x:c r="A192" t="str">
        <x:v>TT-US-02</x:v>
      </x:c>
      <x:c r="B192" t="n">
        <x:v>37</x:v>
      </x:c>
      <x:c r="C192" t="str">
        <x:v>Los Angeles/Long Beach</x:v>
      </x:c>
      <x:c r="D192" t="str">
        <x:v>Memphis</x:v>
      </x:c>
      <x:c r="E192" t="str">
        <x:v>rail</x:v>
      </x:c>
      <x:c r="F192" s="22" t="n">
        <x:v>1221.6</x:v>
      </x:c>
      <x:c r="G192" s="22" t="n">
        <x:v>1317.6</x:v>
      </x:c>
      <x:c r="H192" t="n">
        <x:v>8</x:v>
      </x:c>
    </x:row>
    <x:row r="193">
      <x:c r="A193" t="str">
        <x:v>TT-US-02</x:v>
      </x:c>
      <x:c r="B193" t="n">
        <x:v>38</x:v>
      </x:c>
      <x:c r="C193" t="str">
        <x:v>Los Angeles/Long Beach</x:v>
      </x:c>
      <x:c r="D193" t="str">
        <x:v>Memphis</x:v>
      </x:c>
      <x:c r="E193" t="str">
        <x:v>rail</x:v>
      </x:c>
      <x:c r="F193" s="22" t="n">
        <x:v>1255.2</x:v>
      </x:c>
      <x:c r="G193" s="22" t="n">
        <x:v>1351.2</x:v>
      </x:c>
      <x:c r="H193" t="n">
        <x:v>8</x:v>
      </x:c>
    </x:row>
    <x:row r="194">
      <x:c r="A194" t="str">
        <x:v>TT-US-02</x:v>
      </x:c>
      <x:c r="B194" t="n">
        <x:v>39</x:v>
      </x:c>
      <x:c r="C194" t="str">
        <x:v>Los Angeles/Long Beach</x:v>
      </x:c>
      <x:c r="D194" t="str">
        <x:v>Memphis</x:v>
      </x:c>
      <x:c r="E194" t="str">
        <x:v>rail</x:v>
      </x:c>
      <x:c r="F194" s="22" t="n">
        <x:v>1288.8</x:v>
      </x:c>
      <x:c r="G194" s="22" t="n">
        <x:v>1384.8</x:v>
      </x:c>
      <x:c r="H194" t="n">
        <x:v>8</x:v>
      </x:c>
    </x:row>
    <x:row r="195">
      <x:c r="A195" t="str">
        <x:v>TT-US-02</x:v>
      </x:c>
      <x:c r="B195" t="n">
        <x:v>40</x:v>
      </x:c>
      <x:c r="C195" t="str">
        <x:v>Los Angeles/Long Beach</x:v>
      </x:c>
      <x:c r="D195" t="str">
        <x:v>Memphis</x:v>
      </x:c>
      <x:c r="E195" t="str">
        <x:v>rail</x:v>
      </x:c>
      <x:c r="F195" s="22" t="n">
        <x:v>1322.4</x:v>
      </x:c>
      <x:c r="G195" s="22" t="n">
        <x:v>1418.4</x:v>
      </x:c>
      <x:c r="H195" t="n">
        <x:v>8</x:v>
      </x:c>
    </x:row>
    <x:row r="196">
      <x:c r="A196" t="str">
        <x:v>TT-US-03</x:v>
      </x:c>
      <x:c r="B196" t="n">
        <x:v>1</x:v>
      </x:c>
      <x:c r="C196" t="str">
        <x:v>Los Angeles/Long Beach</x:v>
      </x:c>
      <x:c r="D196" t="str">
        <x:v>Columbus</x:v>
      </x:c>
      <x:c r="E196" t="str">
        <x:v>rail</x:v>
      </x:c>
      <x:c r="F196" s="22" t="n">
        <x:v>12</x:v>
      </x:c>
      <x:c r="G196" s="22" t="n">
        <x:v>127</x:v>
      </x:c>
      <x:c r="H196" t="n">
        <x:v>1</x:v>
      </x:c>
    </x:row>
    <x:row r="197">
      <x:c r="A197" t="str">
        <x:v>TT-US-03</x:v>
      </x:c>
      <x:c r="B197" t="n">
        <x:v>2</x:v>
      </x:c>
      <x:c r="C197" t="str">
        <x:v>Los Angeles/Long Beach</x:v>
      </x:c>
      <x:c r="D197" t="str">
        <x:v>Columbus</x:v>
      </x:c>
      <x:c r="E197" t="str">
        <x:v>rail</x:v>
      </x:c>
      <x:c r="F197" s="22" t="n">
        <x:v>45.6</x:v>
      </x:c>
      <x:c r="G197" s="22" t="n">
        <x:v>160.6</x:v>
      </x:c>
      <x:c r="H197" t="n">
        <x:v>1</x:v>
      </x:c>
    </x:row>
    <x:row r="198">
      <x:c r="A198" t="str">
        <x:v>TT-US-03</x:v>
      </x:c>
      <x:c r="B198" t="n">
        <x:v>3</x:v>
      </x:c>
      <x:c r="C198" t="str">
        <x:v>Los Angeles/Long Beach</x:v>
      </x:c>
      <x:c r="D198" t="str">
        <x:v>Columbus</x:v>
      </x:c>
      <x:c r="E198" t="str">
        <x:v>rail</x:v>
      </x:c>
      <x:c r="F198" s="22" t="n">
        <x:v>79.2</x:v>
      </x:c>
      <x:c r="G198" s="22" t="n">
        <x:v>194.2</x:v>
      </x:c>
      <x:c r="H198" t="n">
        <x:v>1</x:v>
      </x:c>
    </x:row>
    <x:row r="199">
      <x:c r="A199" t="str">
        <x:v>TT-US-03</x:v>
      </x:c>
      <x:c r="B199" t="n">
        <x:v>4</x:v>
      </x:c>
      <x:c r="C199" t="str">
        <x:v>Los Angeles/Long Beach</x:v>
      </x:c>
      <x:c r="D199" t="str">
        <x:v>Columbus</x:v>
      </x:c>
      <x:c r="E199" t="str">
        <x:v>rail</x:v>
      </x:c>
      <x:c r="F199" s="22" t="n">
        <x:v>112.8</x:v>
      </x:c>
      <x:c r="G199" s="22" t="n">
        <x:v>227.8</x:v>
      </x:c>
      <x:c r="H199" t="n">
        <x:v>1</x:v>
      </x:c>
    </x:row>
    <x:row r="200">
      <x:c r="A200" t="str">
        <x:v>TT-US-03</x:v>
      </x:c>
      <x:c r="B200" t="n">
        <x:v>5</x:v>
      </x:c>
      <x:c r="C200" t="str">
        <x:v>Los Angeles/Long Beach</x:v>
      </x:c>
      <x:c r="D200" t="str">
        <x:v>Columbus</x:v>
      </x:c>
      <x:c r="E200" t="str">
        <x:v>rail</x:v>
      </x:c>
      <x:c r="F200" s="22" t="n">
        <x:v>146.4</x:v>
      </x:c>
      <x:c r="G200" s="22" t="n">
        <x:v>261.4</x:v>
      </x:c>
      <x:c r="H200" t="n">
        <x:v>1</x:v>
      </x:c>
    </x:row>
    <x:row r="201">
      <x:c r="A201" t="str">
        <x:v>TT-US-03</x:v>
      </x:c>
      <x:c r="B201" t="n">
        <x:v>6</x:v>
      </x:c>
      <x:c r="C201" t="str">
        <x:v>Los Angeles/Long Beach</x:v>
      </x:c>
      <x:c r="D201" t="str">
        <x:v>Columbus</x:v>
      </x:c>
      <x:c r="E201" t="str">
        <x:v>rail</x:v>
      </x:c>
      <x:c r="F201" s="22" t="n">
        <x:v>180</x:v>
      </x:c>
      <x:c r="G201" s="22" t="n">
        <x:v>295</x:v>
      </x:c>
      <x:c r="H201" t="n">
        <x:v>2</x:v>
      </x:c>
    </x:row>
    <x:row r="202">
      <x:c r="A202" t="str">
        <x:v>TT-US-03</x:v>
      </x:c>
      <x:c r="B202" t="n">
        <x:v>7</x:v>
      </x:c>
      <x:c r="C202" t="str">
        <x:v>Los Angeles/Long Beach</x:v>
      </x:c>
      <x:c r="D202" t="str">
        <x:v>Columbus</x:v>
      </x:c>
      <x:c r="E202" t="str">
        <x:v>rail</x:v>
      </x:c>
      <x:c r="F202" s="22" t="n">
        <x:v>213.6</x:v>
      </x:c>
      <x:c r="G202" s="22" t="n">
        <x:v>328.6</x:v>
      </x:c>
      <x:c r="H202" t="n">
        <x:v>2</x:v>
      </x:c>
    </x:row>
    <x:row r="203">
      <x:c r="A203" t="str">
        <x:v>TT-US-03</x:v>
      </x:c>
      <x:c r="B203" t="n">
        <x:v>8</x:v>
      </x:c>
      <x:c r="C203" t="str">
        <x:v>Los Angeles/Long Beach</x:v>
      </x:c>
      <x:c r="D203" t="str">
        <x:v>Columbus</x:v>
      </x:c>
      <x:c r="E203" t="str">
        <x:v>rail</x:v>
      </x:c>
      <x:c r="F203" s="22" t="n">
        <x:v>247.2</x:v>
      </x:c>
      <x:c r="G203" s="22" t="n">
        <x:v>362.2</x:v>
      </x:c>
      <x:c r="H203" t="n">
        <x:v>2</x:v>
      </x:c>
    </x:row>
    <x:row r="204">
      <x:c r="A204" t="str">
        <x:v>TT-US-03</x:v>
      </x:c>
      <x:c r="B204" t="n">
        <x:v>9</x:v>
      </x:c>
      <x:c r="C204" t="str">
        <x:v>Los Angeles/Long Beach</x:v>
      </x:c>
      <x:c r="D204" t="str">
        <x:v>Columbus</x:v>
      </x:c>
      <x:c r="E204" t="str">
        <x:v>rail</x:v>
      </x:c>
      <x:c r="F204" s="22" t="n">
        <x:v>280.8</x:v>
      </x:c>
      <x:c r="G204" s="22" t="n">
        <x:v>395.8</x:v>
      </x:c>
      <x:c r="H204" t="n">
        <x:v>2</x:v>
      </x:c>
    </x:row>
    <x:row r="205">
      <x:c r="A205" t="str">
        <x:v>TT-US-03</x:v>
      </x:c>
      <x:c r="B205" t="n">
        <x:v>10</x:v>
      </x:c>
      <x:c r="C205" t="str">
        <x:v>Los Angeles/Long Beach</x:v>
      </x:c>
      <x:c r="D205" t="str">
        <x:v>Columbus</x:v>
      </x:c>
      <x:c r="E205" t="str">
        <x:v>rail</x:v>
      </x:c>
      <x:c r="F205" s="22" t="n">
        <x:v>314.4</x:v>
      </x:c>
      <x:c r="G205" s="22" t="n">
        <x:v>429.4</x:v>
      </x:c>
      <x:c r="H205" t="n">
        <x:v>2</x:v>
      </x:c>
    </x:row>
    <x:row r="206">
      <x:c r="A206" t="str">
        <x:v>TT-US-03</x:v>
      </x:c>
      <x:c r="B206" t="n">
        <x:v>11</x:v>
      </x:c>
      <x:c r="C206" t="str">
        <x:v>Los Angeles/Long Beach</x:v>
      </x:c>
      <x:c r="D206" t="str">
        <x:v>Columbus</x:v>
      </x:c>
      <x:c r="E206" t="str">
        <x:v>rail</x:v>
      </x:c>
      <x:c r="F206" s="22" t="n">
        <x:v>348</x:v>
      </x:c>
      <x:c r="G206" s="22" t="n">
        <x:v>463</x:v>
      </x:c>
      <x:c r="H206" t="n">
        <x:v>3</x:v>
      </x:c>
    </x:row>
    <x:row r="207">
      <x:c r="A207" t="str">
        <x:v>TT-US-03</x:v>
      </x:c>
      <x:c r="B207" t="n">
        <x:v>12</x:v>
      </x:c>
      <x:c r="C207" t="str">
        <x:v>Los Angeles/Long Beach</x:v>
      </x:c>
      <x:c r="D207" t="str">
        <x:v>Columbus</x:v>
      </x:c>
      <x:c r="E207" t="str">
        <x:v>rail</x:v>
      </x:c>
      <x:c r="F207" s="22" t="n">
        <x:v>381.6</x:v>
      </x:c>
      <x:c r="G207" s="22" t="n">
        <x:v>496.6</x:v>
      </x:c>
      <x:c r="H207" t="n">
        <x:v>3</x:v>
      </x:c>
    </x:row>
    <x:row r="208">
      <x:c r="A208" t="str">
        <x:v>TT-US-03</x:v>
      </x:c>
      <x:c r="B208" t="n">
        <x:v>13</x:v>
      </x:c>
      <x:c r="C208" t="str">
        <x:v>Los Angeles/Long Beach</x:v>
      </x:c>
      <x:c r="D208" t="str">
        <x:v>Columbus</x:v>
      </x:c>
      <x:c r="E208" t="str">
        <x:v>rail</x:v>
      </x:c>
      <x:c r="F208" s="22" t="n">
        <x:v>415.2</x:v>
      </x:c>
      <x:c r="G208" s="22" t="n">
        <x:v>530.2</x:v>
      </x:c>
      <x:c r="H208" t="n">
        <x:v>3</x:v>
      </x:c>
    </x:row>
    <x:row r="209">
      <x:c r="A209" t="str">
        <x:v>TT-US-03</x:v>
      </x:c>
      <x:c r="B209" t="n">
        <x:v>14</x:v>
      </x:c>
      <x:c r="C209" t="str">
        <x:v>Los Angeles/Long Beach</x:v>
      </x:c>
      <x:c r="D209" t="str">
        <x:v>Columbus</x:v>
      </x:c>
      <x:c r="E209" t="str">
        <x:v>rail</x:v>
      </x:c>
      <x:c r="F209" s="22" t="n">
        <x:v>448.8</x:v>
      </x:c>
      <x:c r="G209" s="22" t="n">
        <x:v>563.8</x:v>
      </x:c>
      <x:c r="H209" t="n">
        <x:v>3</x:v>
      </x:c>
    </x:row>
    <x:row r="210">
      <x:c r="A210" t="str">
        <x:v>TT-US-03</x:v>
      </x:c>
      <x:c r="B210" t="n">
        <x:v>15</x:v>
      </x:c>
      <x:c r="C210" t="str">
        <x:v>Los Angeles/Long Beach</x:v>
      </x:c>
      <x:c r="D210" t="str">
        <x:v>Columbus</x:v>
      </x:c>
      <x:c r="E210" t="str">
        <x:v>rail</x:v>
      </x:c>
      <x:c r="F210" s="22" t="n">
        <x:v>482.4</x:v>
      </x:c>
      <x:c r="G210" s="22" t="n">
        <x:v>597.4</x:v>
      </x:c>
      <x:c r="H210" t="n">
        <x:v>3</x:v>
      </x:c>
    </x:row>
    <x:row r="211">
      <x:c r="A211" t="str">
        <x:v>TT-US-03</x:v>
      </x:c>
      <x:c r="B211" t="n">
        <x:v>16</x:v>
      </x:c>
      <x:c r="C211" t="str">
        <x:v>Los Angeles/Long Beach</x:v>
      </x:c>
      <x:c r="D211" t="str">
        <x:v>Columbus</x:v>
      </x:c>
      <x:c r="E211" t="str">
        <x:v>rail</x:v>
      </x:c>
      <x:c r="F211" s="22" t="n">
        <x:v>516</x:v>
      </x:c>
      <x:c r="G211" s="22" t="n">
        <x:v>631</x:v>
      </x:c>
      <x:c r="H211" t="n">
        <x:v>4</x:v>
      </x:c>
    </x:row>
    <x:row r="212">
      <x:c r="A212" t="str">
        <x:v>TT-US-03</x:v>
      </x:c>
      <x:c r="B212" t="n">
        <x:v>17</x:v>
      </x:c>
      <x:c r="C212" t="str">
        <x:v>Los Angeles/Long Beach</x:v>
      </x:c>
      <x:c r="D212" t="str">
        <x:v>Columbus</x:v>
      </x:c>
      <x:c r="E212" t="str">
        <x:v>rail</x:v>
      </x:c>
      <x:c r="F212" s="22" t="n">
        <x:v>549.6</x:v>
      </x:c>
      <x:c r="G212" s="22" t="n">
        <x:v>664.6</x:v>
      </x:c>
      <x:c r="H212" t="n">
        <x:v>4</x:v>
      </x:c>
    </x:row>
    <x:row r="213">
      <x:c r="A213" t="str">
        <x:v>TT-US-03</x:v>
      </x:c>
      <x:c r="B213" t="n">
        <x:v>18</x:v>
      </x:c>
      <x:c r="C213" t="str">
        <x:v>Los Angeles/Long Beach</x:v>
      </x:c>
      <x:c r="D213" t="str">
        <x:v>Columbus</x:v>
      </x:c>
      <x:c r="E213" t="str">
        <x:v>rail</x:v>
      </x:c>
      <x:c r="F213" s="22" t="n">
        <x:v>583.2</x:v>
      </x:c>
      <x:c r="G213" s="22" t="n">
        <x:v>698.2</x:v>
      </x:c>
      <x:c r="H213" t="n">
        <x:v>4</x:v>
      </x:c>
    </x:row>
    <x:row r="214">
      <x:c r="A214" t="str">
        <x:v>TT-US-03</x:v>
      </x:c>
      <x:c r="B214" t="n">
        <x:v>19</x:v>
      </x:c>
      <x:c r="C214" t="str">
        <x:v>Los Angeles/Long Beach</x:v>
      </x:c>
      <x:c r="D214" t="str">
        <x:v>Columbus</x:v>
      </x:c>
      <x:c r="E214" t="str">
        <x:v>rail</x:v>
      </x:c>
      <x:c r="F214" s="22" t="n">
        <x:v>616.8</x:v>
      </x:c>
      <x:c r="G214" s="22" t="n">
        <x:v>731.8</x:v>
      </x:c>
      <x:c r="H214" t="n">
        <x:v>4</x:v>
      </x:c>
    </x:row>
    <x:row r="215">
      <x:c r="A215" t="str">
        <x:v>TT-US-03</x:v>
      </x:c>
      <x:c r="B215" t="n">
        <x:v>20</x:v>
      </x:c>
      <x:c r="C215" t="str">
        <x:v>Los Angeles/Long Beach</x:v>
      </x:c>
      <x:c r="D215" t="str">
        <x:v>Columbus</x:v>
      </x:c>
      <x:c r="E215" t="str">
        <x:v>rail</x:v>
      </x:c>
      <x:c r="F215" s="22" t="n">
        <x:v>650.4</x:v>
      </x:c>
      <x:c r="G215" s="22" t="n">
        <x:v>765.4</x:v>
      </x:c>
      <x:c r="H215" t="n">
        <x:v>4</x:v>
      </x:c>
    </x:row>
    <x:row r="216">
      <x:c r="A216" t="str">
        <x:v>TT-US-03</x:v>
      </x:c>
      <x:c r="B216" t="n">
        <x:v>21</x:v>
      </x:c>
      <x:c r="C216" t="str">
        <x:v>Los Angeles/Long Beach</x:v>
      </x:c>
      <x:c r="D216" t="str">
        <x:v>Columbus</x:v>
      </x:c>
      <x:c r="E216" t="str">
        <x:v>rail</x:v>
      </x:c>
      <x:c r="F216" s="22" t="n">
        <x:v>684</x:v>
      </x:c>
      <x:c r="G216" s="22" t="n">
        <x:v>799</x:v>
      </x:c>
      <x:c r="H216" t="n">
        <x:v>5</x:v>
      </x:c>
    </x:row>
    <x:row r="217">
      <x:c r="A217" t="str">
        <x:v>TT-US-03</x:v>
      </x:c>
      <x:c r="B217" t="n">
        <x:v>22</x:v>
      </x:c>
      <x:c r="C217" t="str">
        <x:v>Los Angeles/Long Beach</x:v>
      </x:c>
      <x:c r="D217" t="str">
        <x:v>Columbus</x:v>
      </x:c>
      <x:c r="E217" t="str">
        <x:v>rail</x:v>
      </x:c>
      <x:c r="F217" s="22" t="n">
        <x:v>717.6</x:v>
      </x:c>
      <x:c r="G217" s="22" t="n">
        <x:v>832.6</x:v>
      </x:c>
      <x:c r="H217" t="n">
        <x:v>5</x:v>
      </x:c>
    </x:row>
    <x:row r="218">
      <x:c r="A218" t="str">
        <x:v>TT-US-03</x:v>
      </x:c>
      <x:c r="B218" t="n">
        <x:v>23</x:v>
      </x:c>
      <x:c r="C218" t="str">
        <x:v>Los Angeles/Long Beach</x:v>
      </x:c>
      <x:c r="D218" t="str">
        <x:v>Columbus</x:v>
      </x:c>
      <x:c r="E218" t="str">
        <x:v>rail</x:v>
      </x:c>
      <x:c r="F218" s="22" t="n">
        <x:v>751.2</x:v>
      </x:c>
      <x:c r="G218" s="22" t="n">
        <x:v>866.2</x:v>
      </x:c>
      <x:c r="H218" t="n">
        <x:v>5</x:v>
      </x:c>
    </x:row>
    <x:row r="219">
      <x:c r="A219" t="str">
        <x:v>TT-US-03</x:v>
      </x:c>
      <x:c r="B219" t="n">
        <x:v>24</x:v>
      </x:c>
      <x:c r="C219" t="str">
        <x:v>Los Angeles/Long Beach</x:v>
      </x:c>
      <x:c r="D219" t="str">
        <x:v>Columbus</x:v>
      </x:c>
      <x:c r="E219" t="str">
        <x:v>rail</x:v>
      </x:c>
      <x:c r="F219" s="22" t="n">
        <x:v>784.8</x:v>
      </x:c>
      <x:c r="G219" s="22" t="n">
        <x:v>899.8</x:v>
      </x:c>
      <x:c r="H219" t="n">
        <x:v>5</x:v>
      </x:c>
    </x:row>
    <x:row r="220">
      <x:c r="A220" t="str">
        <x:v>TT-US-03</x:v>
      </x:c>
      <x:c r="B220" t="n">
        <x:v>25</x:v>
      </x:c>
      <x:c r="C220" t="str">
        <x:v>Los Angeles/Long Beach</x:v>
      </x:c>
      <x:c r="D220" t="str">
        <x:v>Columbus</x:v>
      </x:c>
      <x:c r="E220" t="str">
        <x:v>rail</x:v>
      </x:c>
      <x:c r="F220" s="22" t="n">
        <x:v>818.4</x:v>
      </x:c>
      <x:c r="G220" s="22" t="n">
        <x:v>933.4</x:v>
      </x:c>
      <x:c r="H220" t="n">
        <x:v>5</x:v>
      </x:c>
    </x:row>
    <x:row r="221">
      <x:c r="A221" t="str">
        <x:v>TT-US-03</x:v>
      </x:c>
      <x:c r="B221" t="n">
        <x:v>26</x:v>
      </x:c>
      <x:c r="C221" t="str">
        <x:v>Los Angeles/Long Beach</x:v>
      </x:c>
      <x:c r="D221" t="str">
        <x:v>Columbus</x:v>
      </x:c>
      <x:c r="E221" t="str">
        <x:v>rail</x:v>
      </x:c>
      <x:c r="F221" s="22" t="n">
        <x:v>852</x:v>
      </x:c>
      <x:c r="G221" s="22" t="n">
        <x:v>967</x:v>
      </x:c>
      <x:c r="H221" t="n">
        <x:v>6</x:v>
      </x:c>
    </x:row>
    <x:row r="222">
      <x:c r="A222" t="str">
        <x:v>TT-US-03</x:v>
      </x:c>
      <x:c r="B222" t="n">
        <x:v>27</x:v>
      </x:c>
      <x:c r="C222" t="str">
        <x:v>Los Angeles/Long Beach</x:v>
      </x:c>
      <x:c r="D222" t="str">
        <x:v>Columbus</x:v>
      </x:c>
      <x:c r="E222" t="str">
        <x:v>rail</x:v>
      </x:c>
      <x:c r="F222" s="22" t="n">
        <x:v>885.6</x:v>
      </x:c>
      <x:c r="G222" s="22" t="n">
        <x:v>1000.6</x:v>
      </x:c>
      <x:c r="H222" t="n">
        <x:v>6</x:v>
      </x:c>
    </x:row>
    <x:row r="223">
      <x:c r="A223" t="str">
        <x:v>TT-US-03</x:v>
      </x:c>
      <x:c r="B223" t="n">
        <x:v>28</x:v>
      </x:c>
      <x:c r="C223" t="str">
        <x:v>Los Angeles/Long Beach</x:v>
      </x:c>
      <x:c r="D223" t="str">
        <x:v>Columbus</x:v>
      </x:c>
      <x:c r="E223" t="str">
        <x:v>rail</x:v>
      </x:c>
      <x:c r="F223" s="22" t="n">
        <x:v>919.2</x:v>
      </x:c>
      <x:c r="G223" s="22" t="n">
        <x:v>1034.2</x:v>
      </x:c>
      <x:c r="H223" t="n">
        <x:v>6</x:v>
      </x:c>
    </x:row>
    <x:row r="224">
      <x:c r="A224" t="str">
        <x:v>TT-US-03</x:v>
      </x:c>
      <x:c r="B224" t="n">
        <x:v>29</x:v>
      </x:c>
      <x:c r="C224" t="str">
        <x:v>Los Angeles/Long Beach</x:v>
      </x:c>
      <x:c r="D224" t="str">
        <x:v>Columbus</x:v>
      </x:c>
      <x:c r="E224" t="str">
        <x:v>rail</x:v>
      </x:c>
      <x:c r="F224" s="22" t="n">
        <x:v>952.8</x:v>
      </x:c>
      <x:c r="G224" s="22" t="n">
        <x:v>1067.8</x:v>
      </x:c>
      <x:c r="H224" t="n">
        <x:v>6</x:v>
      </x:c>
    </x:row>
    <x:row r="225">
      <x:c r="A225" t="str">
        <x:v>TT-US-03</x:v>
      </x:c>
      <x:c r="B225" t="n">
        <x:v>30</x:v>
      </x:c>
      <x:c r="C225" t="str">
        <x:v>Los Angeles/Long Beach</x:v>
      </x:c>
      <x:c r="D225" t="str">
        <x:v>Columbus</x:v>
      </x:c>
      <x:c r="E225" t="str">
        <x:v>rail</x:v>
      </x:c>
      <x:c r="F225" s="22" t="n">
        <x:v>986.4</x:v>
      </x:c>
      <x:c r="G225" s="22" t="n">
        <x:v>1101.4</x:v>
      </x:c>
      <x:c r="H225" t="n">
        <x:v>6</x:v>
      </x:c>
    </x:row>
    <x:row r="226">
      <x:c r="A226" t="str">
        <x:v>TT-US-03</x:v>
      </x:c>
      <x:c r="B226" t="n">
        <x:v>31</x:v>
      </x:c>
      <x:c r="C226" t="str">
        <x:v>Los Angeles/Long Beach</x:v>
      </x:c>
      <x:c r="D226" t="str">
        <x:v>Columbus</x:v>
      </x:c>
      <x:c r="E226" t="str">
        <x:v>rail</x:v>
      </x:c>
      <x:c r="F226" s="22" t="n">
        <x:v>1020</x:v>
      </x:c>
      <x:c r="G226" s="22" t="n">
        <x:v>1135</x:v>
      </x:c>
      <x:c r="H226" t="n">
        <x:v>7</x:v>
      </x:c>
    </x:row>
    <x:row r="227">
      <x:c r="A227" t="str">
        <x:v>TT-US-03</x:v>
      </x:c>
      <x:c r="B227" t="n">
        <x:v>32</x:v>
      </x:c>
      <x:c r="C227" t="str">
        <x:v>Los Angeles/Long Beach</x:v>
      </x:c>
      <x:c r="D227" t="str">
        <x:v>Columbus</x:v>
      </x:c>
      <x:c r="E227" t="str">
        <x:v>rail</x:v>
      </x:c>
      <x:c r="F227" s="22" t="n">
        <x:v>1053.6</x:v>
      </x:c>
      <x:c r="G227" s="22" t="n">
        <x:v>1168.6</x:v>
      </x:c>
      <x:c r="H227" t="n">
        <x:v>7</x:v>
      </x:c>
    </x:row>
    <x:row r="228">
      <x:c r="A228" t="str">
        <x:v>TT-US-03</x:v>
      </x:c>
      <x:c r="B228" t="n">
        <x:v>33</x:v>
      </x:c>
      <x:c r="C228" t="str">
        <x:v>Los Angeles/Long Beach</x:v>
      </x:c>
      <x:c r="D228" t="str">
        <x:v>Columbus</x:v>
      </x:c>
      <x:c r="E228" t="str">
        <x:v>rail</x:v>
      </x:c>
      <x:c r="F228" s="22" t="n">
        <x:v>1087.2</x:v>
      </x:c>
      <x:c r="G228" s="22" t="n">
        <x:v>1202.2</x:v>
      </x:c>
      <x:c r="H228" t="n">
        <x:v>7</x:v>
      </x:c>
    </x:row>
    <x:row r="229">
      <x:c r="A229" t="str">
        <x:v>TT-US-03</x:v>
      </x:c>
      <x:c r="B229" t="n">
        <x:v>34</x:v>
      </x:c>
      <x:c r="C229" t="str">
        <x:v>Los Angeles/Long Beach</x:v>
      </x:c>
      <x:c r="D229" t="str">
        <x:v>Columbus</x:v>
      </x:c>
      <x:c r="E229" t="str">
        <x:v>rail</x:v>
      </x:c>
      <x:c r="F229" s="22" t="n">
        <x:v>1120.8</x:v>
      </x:c>
      <x:c r="G229" s="22" t="n">
        <x:v>1235.8</x:v>
      </x:c>
      <x:c r="H229" t="n">
        <x:v>7</x:v>
      </x:c>
    </x:row>
    <x:row r="230">
      <x:c r="A230" t="str">
        <x:v>TT-US-03</x:v>
      </x:c>
      <x:c r="B230" t="n">
        <x:v>35</x:v>
      </x:c>
      <x:c r="C230" t="str">
        <x:v>Los Angeles/Long Beach</x:v>
      </x:c>
      <x:c r="D230" t="str">
        <x:v>Columbus</x:v>
      </x:c>
      <x:c r="E230" t="str">
        <x:v>rail</x:v>
      </x:c>
      <x:c r="F230" s="22" t="n">
        <x:v>1154.4</x:v>
      </x:c>
      <x:c r="G230" s="22" t="n">
        <x:v>1269.4</x:v>
      </x:c>
      <x:c r="H230" t="n">
        <x:v>7</x:v>
      </x:c>
    </x:row>
    <x:row r="231">
      <x:c r="A231" t="str">
        <x:v>TT-US-03</x:v>
      </x:c>
      <x:c r="B231" t="n">
        <x:v>36</x:v>
      </x:c>
      <x:c r="C231" t="str">
        <x:v>Los Angeles/Long Beach</x:v>
      </x:c>
      <x:c r="D231" t="str">
        <x:v>Columbus</x:v>
      </x:c>
      <x:c r="E231" t="str">
        <x:v>rail</x:v>
      </x:c>
      <x:c r="F231" s="22" t="n">
        <x:v>1188</x:v>
      </x:c>
      <x:c r="G231" s="22" t="n">
        <x:v>1303</x:v>
      </x:c>
      <x:c r="H231" t="n">
        <x:v>8</x:v>
      </x:c>
    </x:row>
    <x:row r="232">
      <x:c r="A232" t="str">
        <x:v>TT-US-03</x:v>
      </x:c>
      <x:c r="B232" t="n">
        <x:v>37</x:v>
      </x:c>
      <x:c r="C232" t="str">
        <x:v>Los Angeles/Long Beach</x:v>
      </x:c>
      <x:c r="D232" t="str">
        <x:v>Columbus</x:v>
      </x:c>
      <x:c r="E232" t="str">
        <x:v>rail</x:v>
      </x:c>
      <x:c r="F232" s="22" t="n">
        <x:v>1221.6</x:v>
      </x:c>
      <x:c r="G232" s="22" t="n">
        <x:v>1336.6</x:v>
      </x:c>
      <x:c r="H232" t="n">
        <x:v>8</x:v>
      </x:c>
    </x:row>
    <x:row r="233">
      <x:c r="A233" t="str">
        <x:v>TT-US-03</x:v>
      </x:c>
      <x:c r="B233" t="n">
        <x:v>38</x:v>
      </x:c>
      <x:c r="C233" t="str">
        <x:v>Los Angeles/Long Beach</x:v>
      </x:c>
      <x:c r="D233" t="str">
        <x:v>Columbus</x:v>
      </x:c>
      <x:c r="E233" t="str">
        <x:v>rail</x:v>
      </x:c>
      <x:c r="F233" s="22" t="n">
        <x:v>1255.2</x:v>
      </x:c>
      <x:c r="G233" s="22" t="n">
        <x:v>1370.2</x:v>
      </x:c>
      <x:c r="H233" t="n">
        <x:v>8</x:v>
      </x:c>
    </x:row>
    <x:row r="234">
      <x:c r="A234" t="str">
        <x:v>TT-US-03</x:v>
      </x:c>
      <x:c r="B234" t="n">
        <x:v>39</x:v>
      </x:c>
      <x:c r="C234" t="str">
        <x:v>Los Angeles/Long Beach</x:v>
      </x:c>
      <x:c r="D234" t="str">
        <x:v>Columbus</x:v>
      </x:c>
      <x:c r="E234" t="str">
        <x:v>rail</x:v>
      </x:c>
      <x:c r="F234" s="22" t="n">
        <x:v>1288.8</x:v>
      </x:c>
      <x:c r="G234" s="22" t="n">
        <x:v>1403.8</x:v>
      </x:c>
      <x:c r="H234" t="n">
        <x:v>8</x:v>
      </x:c>
    </x:row>
    <x:row r="235">
      <x:c r="A235" t="str">
        <x:v>TT-US-03</x:v>
      </x:c>
      <x:c r="B235" t="n">
        <x:v>40</x:v>
      </x:c>
      <x:c r="C235" t="str">
        <x:v>Los Angeles/Long Beach</x:v>
      </x:c>
      <x:c r="D235" t="str">
        <x:v>Columbus</x:v>
      </x:c>
      <x:c r="E235" t="str">
        <x:v>rail</x:v>
      </x:c>
      <x:c r="F235" s="22" t="n">
        <x:v>1322.4</x:v>
      </x:c>
      <x:c r="G235" s="22" t="n">
        <x:v>1437.4</x:v>
      </x:c>
      <x:c r="H235" t="n">
        <x:v>8</x:v>
      </x:c>
    </x:row>
    <x:row r="236">
      <x:c r="A236" t="str">
        <x:v>TT-US-04</x:v>
      </x:c>
      <x:c r="B236" t="n">
        <x:v>1</x:v>
      </x:c>
      <x:c r="C236" t="str">
        <x:v>Seattle/Tacoma</x:v>
      </x:c>
      <x:c r="D236" t="str">
        <x:v>Chicago</x:v>
      </x:c>
      <x:c r="E236" t="str">
        <x:v>rail</x:v>
      </x:c>
      <x:c r="F236" s="22" t="n">
        <x:v>12</x:v>
      </x:c>
      <x:c r="G236" s="22" t="n">
        <x:v>144</x:v>
      </x:c>
      <x:c r="H236" t="n">
        <x:v>1</x:v>
      </x:c>
    </x:row>
    <x:row r="237">
      <x:c r="A237" t="str">
        <x:v>TT-US-04</x:v>
      </x:c>
      <x:c r="B237" t="n">
        <x:v>2</x:v>
      </x:c>
      <x:c r="C237" t="str">
        <x:v>Seattle/Tacoma</x:v>
      </x:c>
      <x:c r="D237" t="str">
        <x:v>Chicago</x:v>
      </x:c>
      <x:c r="E237" t="str">
        <x:v>rail</x:v>
      </x:c>
      <x:c r="F237" s="22" t="n">
        <x:v>45.6</x:v>
      </x:c>
      <x:c r="G237" s="22" t="n">
        <x:v>177.6</x:v>
      </x:c>
      <x:c r="H237" t="n">
        <x:v>1</x:v>
      </x:c>
    </x:row>
    <x:row r="238">
      <x:c r="A238" t="str">
        <x:v>TT-US-04</x:v>
      </x:c>
      <x:c r="B238" t="n">
        <x:v>3</x:v>
      </x:c>
      <x:c r="C238" t="str">
        <x:v>Seattle/Tacoma</x:v>
      </x:c>
      <x:c r="D238" t="str">
        <x:v>Chicago</x:v>
      </x:c>
      <x:c r="E238" t="str">
        <x:v>rail</x:v>
      </x:c>
      <x:c r="F238" s="22" t="n">
        <x:v>79.2</x:v>
      </x:c>
      <x:c r="G238" s="22" t="n">
        <x:v>211.2</x:v>
      </x:c>
      <x:c r="H238" t="n">
        <x:v>1</x:v>
      </x:c>
    </x:row>
    <x:row r="239">
      <x:c r="A239" t="str">
        <x:v>TT-US-04</x:v>
      </x:c>
      <x:c r="B239" t="n">
        <x:v>4</x:v>
      </x:c>
      <x:c r="C239" t="str">
        <x:v>Seattle/Tacoma</x:v>
      </x:c>
      <x:c r="D239" t="str">
        <x:v>Chicago</x:v>
      </x:c>
      <x:c r="E239" t="str">
        <x:v>rail</x:v>
      </x:c>
      <x:c r="F239" s="22" t="n">
        <x:v>112.8</x:v>
      </x:c>
      <x:c r="G239" s="22" t="n">
        <x:v>244.8</x:v>
      </x:c>
      <x:c r="H239" t="n">
        <x:v>1</x:v>
      </x:c>
    </x:row>
    <x:row r="240">
      <x:c r="A240" t="str">
        <x:v>TT-US-04</x:v>
      </x:c>
      <x:c r="B240" t="n">
        <x:v>5</x:v>
      </x:c>
      <x:c r="C240" t="str">
        <x:v>Seattle/Tacoma</x:v>
      </x:c>
      <x:c r="D240" t="str">
        <x:v>Chicago</x:v>
      </x:c>
      <x:c r="E240" t="str">
        <x:v>rail</x:v>
      </x:c>
      <x:c r="F240" s="22" t="n">
        <x:v>146.4</x:v>
      </x:c>
      <x:c r="G240" s="22" t="n">
        <x:v>278.4</x:v>
      </x:c>
      <x:c r="H240" t="n">
        <x:v>1</x:v>
      </x:c>
    </x:row>
    <x:row r="241">
      <x:c r="A241" t="str">
        <x:v>TT-US-04</x:v>
      </x:c>
      <x:c r="B241" t="n">
        <x:v>6</x:v>
      </x:c>
      <x:c r="C241" t="str">
        <x:v>Seattle/Tacoma</x:v>
      </x:c>
      <x:c r="D241" t="str">
        <x:v>Chicago</x:v>
      </x:c>
      <x:c r="E241" t="str">
        <x:v>rail</x:v>
      </x:c>
      <x:c r="F241" s="22" t="n">
        <x:v>180</x:v>
      </x:c>
      <x:c r="G241" s="22" t="n">
        <x:v>312</x:v>
      </x:c>
      <x:c r="H241" t="n">
        <x:v>2</x:v>
      </x:c>
    </x:row>
    <x:row r="242">
      <x:c r="A242" t="str">
        <x:v>TT-US-04</x:v>
      </x:c>
      <x:c r="B242" t="n">
        <x:v>7</x:v>
      </x:c>
      <x:c r="C242" t="str">
        <x:v>Seattle/Tacoma</x:v>
      </x:c>
      <x:c r="D242" t="str">
        <x:v>Chicago</x:v>
      </x:c>
      <x:c r="E242" t="str">
        <x:v>rail</x:v>
      </x:c>
      <x:c r="F242" s="22" t="n">
        <x:v>213.6</x:v>
      </x:c>
      <x:c r="G242" s="22" t="n">
        <x:v>345.6</x:v>
      </x:c>
      <x:c r="H242" t="n">
        <x:v>2</x:v>
      </x:c>
    </x:row>
    <x:row r="243">
      <x:c r="A243" t="str">
        <x:v>TT-US-04</x:v>
      </x:c>
      <x:c r="B243" t="n">
        <x:v>8</x:v>
      </x:c>
      <x:c r="C243" t="str">
        <x:v>Seattle/Tacoma</x:v>
      </x:c>
      <x:c r="D243" t="str">
        <x:v>Chicago</x:v>
      </x:c>
      <x:c r="E243" t="str">
        <x:v>rail</x:v>
      </x:c>
      <x:c r="F243" s="22" t="n">
        <x:v>247.2</x:v>
      </x:c>
      <x:c r="G243" s="22" t="n">
        <x:v>379.2</x:v>
      </x:c>
      <x:c r="H243" t="n">
        <x:v>2</x:v>
      </x:c>
    </x:row>
    <x:row r="244">
      <x:c r="A244" t="str">
        <x:v>TT-US-04</x:v>
      </x:c>
      <x:c r="B244" t="n">
        <x:v>9</x:v>
      </x:c>
      <x:c r="C244" t="str">
        <x:v>Seattle/Tacoma</x:v>
      </x:c>
      <x:c r="D244" t="str">
        <x:v>Chicago</x:v>
      </x:c>
      <x:c r="E244" t="str">
        <x:v>rail</x:v>
      </x:c>
      <x:c r="F244" s="22" t="n">
        <x:v>280.8</x:v>
      </x:c>
      <x:c r="G244" s="22" t="n">
        <x:v>412.8</x:v>
      </x:c>
      <x:c r="H244" t="n">
        <x:v>2</x:v>
      </x:c>
    </x:row>
    <x:row r="245">
      <x:c r="A245" t="str">
        <x:v>TT-US-04</x:v>
      </x:c>
      <x:c r="B245" t="n">
        <x:v>10</x:v>
      </x:c>
      <x:c r="C245" t="str">
        <x:v>Seattle/Tacoma</x:v>
      </x:c>
      <x:c r="D245" t="str">
        <x:v>Chicago</x:v>
      </x:c>
      <x:c r="E245" t="str">
        <x:v>rail</x:v>
      </x:c>
      <x:c r="F245" s="22" t="n">
        <x:v>314.4</x:v>
      </x:c>
      <x:c r="G245" s="22" t="n">
        <x:v>446.4</x:v>
      </x:c>
      <x:c r="H245" t="n">
        <x:v>2</x:v>
      </x:c>
    </x:row>
    <x:row r="246">
      <x:c r="A246" t="str">
        <x:v>TT-US-04</x:v>
      </x:c>
      <x:c r="B246" t="n">
        <x:v>11</x:v>
      </x:c>
      <x:c r="C246" t="str">
        <x:v>Seattle/Tacoma</x:v>
      </x:c>
      <x:c r="D246" t="str">
        <x:v>Chicago</x:v>
      </x:c>
      <x:c r="E246" t="str">
        <x:v>rail</x:v>
      </x:c>
      <x:c r="F246" s="22" t="n">
        <x:v>348</x:v>
      </x:c>
      <x:c r="G246" s="22" t="n">
        <x:v>480</x:v>
      </x:c>
      <x:c r="H246" t="n">
        <x:v>3</x:v>
      </x:c>
    </x:row>
    <x:row r="247">
      <x:c r="A247" t="str">
        <x:v>TT-US-04</x:v>
      </x:c>
      <x:c r="B247" t="n">
        <x:v>12</x:v>
      </x:c>
      <x:c r="C247" t="str">
        <x:v>Seattle/Tacoma</x:v>
      </x:c>
      <x:c r="D247" t="str">
        <x:v>Chicago</x:v>
      </x:c>
      <x:c r="E247" t="str">
        <x:v>rail</x:v>
      </x:c>
      <x:c r="F247" s="22" t="n">
        <x:v>381.6</x:v>
      </x:c>
      <x:c r="G247" s="22" t="n">
        <x:v>513.6</x:v>
      </x:c>
      <x:c r="H247" t="n">
        <x:v>3</x:v>
      </x:c>
    </x:row>
    <x:row r="248">
      <x:c r="A248" t="str">
        <x:v>TT-US-04</x:v>
      </x:c>
      <x:c r="B248" t="n">
        <x:v>13</x:v>
      </x:c>
      <x:c r="C248" t="str">
        <x:v>Seattle/Tacoma</x:v>
      </x:c>
      <x:c r="D248" t="str">
        <x:v>Chicago</x:v>
      </x:c>
      <x:c r="E248" t="str">
        <x:v>rail</x:v>
      </x:c>
      <x:c r="F248" s="22" t="n">
        <x:v>415.2</x:v>
      </x:c>
      <x:c r="G248" s="22" t="n">
        <x:v>547.2</x:v>
      </x:c>
      <x:c r="H248" t="n">
        <x:v>3</x:v>
      </x:c>
    </x:row>
    <x:row r="249">
      <x:c r="A249" t="str">
        <x:v>TT-US-04</x:v>
      </x:c>
      <x:c r="B249" t="n">
        <x:v>14</x:v>
      </x:c>
      <x:c r="C249" t="str">
        <x:v>Seattle/Tacoma</x:v>
      </x:c>
      <x:c r="D249" t="str">
        <x:v>Chicago</x:v>
      </x:c>
      <x:c r="E249" t="str">
        <x:v>rail</x:v>
      </x:c>
      <x:c r="F249" s="22" t="n">
        <x:v>448.8</x:v>
      </x:c>
      <x:c r="G249" s="22" t="n">
        <x:v>580.8</x:v>
      </x:c>
      <x:c r="H249" t="n">
        <x:v>3</x:v>
      </x:c>
    </x:row>
    <x:row r="250">
      <x:c r="A250" t="str">
        <x:v>TT-US-04</x:v>
      </x:c>
      <x:c r="B250" t="n">
        <x:v>15</x:v>
      </x:c>
      <x:c r="C250" t="str">
        <x:v>Seattle/Tacoma</x:v>
      </x:c>
      <x:c r="D250" t="str">
        <x:v>Chicago</x:v>
      </x:c>
      <x:c r="E250" t="str">
        <x:v>rail</x:v>
      </x:c>
      <x:c r="F250" s="22" t="n">
        <x:v>482.4</x:v>
      </x:c>
      <x:c r="G250" s="22" t="n">
        <x:v>614.4</x:v>
      </x:c>
      <x:c r="H250" t="n">
        <x:v>3</x:v>
      </x:c>
    </x:row>
    <x:row r="251">
      <x:c r="A251" t="str">
        <x:v>TT-US-04</x:v>
      </x:c>
      <x:c r="B251" t="n">
        <x:v>16</x:v>
      </x:c>
      <x:c r="C251" t="str">
        <x:v>Seattle/Tacoma</x:v>
      </x:c>
      <x:c r="D251" t="str">
        <x:v>Chicago</x:v>
      </x:c>
      <x:c r="E251" t="str">
        <x:v>rail</x:v>
      </x:c>
      <x:c r="F251" s="22" t="n">
        <x:v>516</x:v>
      </x:c>
      <x:c r="G251" s="22" t="n">
        <x:v>648</x:v>
      </x:c>
      <x:c r="H251" t="n">
        <x:v>4</x:v>
      </x:c>
    </x:row>
    <x:row r="252">
      <x:c r="A252" t="str">
        <x:v>TT-US-04</x:v>
      </x:c>
      <x:c r="B252" t="n">
        <x:v>17</x:v>
      </x:c>
      <x:c r="C252" t="str">
        <x:v>Seattle/Tacoma</x:v>
      </x:c>
      <x:c r="D252" t="str">
        <x:v>Chicago</x:v>
      </x:c>
      <x:c r="E252" t="str">
        <x:v>rail</x:v>
      </x:c>
      <x:c r="F252" s="22" t="n">
        <x:v>549.6</x:v>
      </x:c>
      <x:c r="G252" s="22" t="n">
        <x:v>681.6</x:v>
      </x:c>
      <x:c r="H252" t="n">
        <x:v>4</x:v>
      </x:c>
    </x:row>
    <x:row r="253">
      <x:c r="A253" t="str">
        <x:v>TT-US-04</x:v>
      </x:c>
      <x:c r="B253" t="n">
        <x:v>18</x:v>
      </x:c>
      <x:c r="C253" t="str">
        <x:v>Seattle/Tacoma</x:v>
      </x:c>
      <x:c r="D253" t="str">
        <x:v>Chicago</x:v>
      </x:c>
      <x:c r="E253" t="str">
        <x:v>rail</x:v>
      </x:c>
      <x:c r="F253" s="22" t="n">
        <x:v>583.2</x:v>
      </x:c>
      <x:c r="G253" s="22" t="n">
        <x:v>715.2</x:v>
      </x:c>
      <x:c r="H253" t="n">
        <x:v>4</x:v>
      </x:c>
    </x:row>
    <x:row r="254">
      <x:c r="A254" t="str">
        <x:v>TT-US-04</x:v>
      </x:c>
      <x:c r="B254" t="n">
        <x:v>19</x:v>
      </x:c>
      <x:c r="C254" t="str">
        <x:v>Seattle/Tacoma</x:v>
      </x:c>
      <x:c r="D254" t="str">
        <x:v>Chicago</x:v>
      </x:c>
      <x:c r="E254" t="str">
        <x:v>rail</x:v>
      </x:c>
      <x:c r="F254" s="22" t="n">
        <x:v>616.8</x:v>
      </x:c>
      <x:c r="G254" s="22" t="n">
        <x:v>748.8</x:v>
      </x:c>
      <x:c r="H254" t="n">
        <x:v>4</x:v>
      </x:c>
    </x:row>
    <x:row r="255">
      <x:c r="A255" t="str">
        <x:v>TT-US-04</x:v>
      </x:c>
      <x:c r="B255" t="n">
        <x:v>20</x:v>
      </x:c>
      <x:c r="C255" t="str">
        <x:v>Seattle/Tacoma</x:v>
      </x:c>
      <x:c r="D255" t="str">
        <x:v>Chicago</x:v>
      </x:c>
      <x:c r="E255" t="str">
        <x:v>rail</x:v>
      </x:c>
      <x:c r="F255" s="22" t="n">
        <x:v>650.4</x:v>
      </x:c>
      <x:c r="G255" s="22" t="n">
        <x:v>782.4</x:v>
      </x:c>
      <x:c r="H255" t="n">
        <x:v>4</x:v>
      </x:c>
    </x:row>
    <x:row r="256">
      <x:c r="A256" t="str">
        <x:v>TT-US-04</x:v>
      </x:c>
      <x:c r="B256" t="n">
        <x:v>21</x:v>
      </x:c>
      <x:c r="C256" t="str">
        <x:v>Seattle/Tacoma</x:v>
      </x:c>
      <x:c r="D256" t="str">
        <x:v>Chicago</x:v>
      </x:c>
      <x:c r="E256" t="str">
        <x:v>rail</x:v>
      </x:c>
      <x:c r="F256" s="22" t="n">
        <x:v>684</x:v>
      </x:c>
      <x:c r="G256" s="22" t="n">
        <x:v>816</x:v>
      </x:c>
      <x:c r="H256" t="n">
        <x:v>5</x:v>
      </x:c>
    </x:row>
    <x:row r="257">
      <x:c r="A257" t="str">
        <x:v>TT-US-04</x:v>
      </x:c>
      <x:c r="B257" t="n">
        <x:v>22</x:v>
      </x:c>
      <x:c r="C257" t="str">
        <x:v>Seattle/Tacoma</x:v>
      </x:c>
      <x:c r="D257" t="str">
        <x:v>Chicago</x:v>
      </x:c>
      <x:c r="E257" t="str">
        <x:v>rail</x:v>
      </x:c>
      <x:c r="F257" s="22" t="n">
        <x:v>717.6</x:v>
      </x:c>
      <x:c r="G257" s="22" t="n">
        <x:v>849.6</x:v>
      </x:c>
      <x:c r="H257" t="n">
        <x:v>5</x:v>
      </x:c>
    </x:row>
    <x:row r="258">
      <x:c r="A258" t="str">
        <x:v>TT-US-04</x:v>
      </x:c>
      <x:c r="B258" t="n">
        <x:v>23</x:v>
      </x:c>
      <x:c r="C258" t="str">
        <x:v>Seattle/Tacoma</x:v>
      </x:c>
      <x:c r="D258" t="str">
        <x:v>Chicago</x:v>
      </x:c>
      <x:c r="E258" t="str">
        <x:v>rail</x:v>
      </x:c>
      <x:c r="F258" s="22" t="n">
        <x:v>751.2</x:v>
      </x:c>
      <x:c r="G258" s="22" t="n">
        <x:v>883.2</x:v>
      </x:c>
      <x:c r="H258" t="n">
        <x:v>5</x:v>
      </x:c>
    </x:row>
    <x:row r="259">
      <x:c r="A259" t="str">
        <x:v>TT-US-04</x:v>
      </x:c>
      <x:c r="B259" t="n">
        <x:v>24</x:v>
      </x:c>
      <x:c r="C259" t="str">
        <x:v>Seattle/Tacoma</x:v>
      </x:c>
      <x:c r="D259" t="str">
        <x:v>Chicago</x:v>
      </x:c>
      <x:c r="E259" t="str">
        <x:v>rail</x:v>
      </x:c>
      <x:c r="F259" s="22" t="n">
        <x:v>784.8</x:v>
      </x:c>
      <x:c r="G259" s="22" t="n">
        <x:v>916.8</x:v>
      </x:c>
      <x:c r="H259" t="n">
        <x:v>5</x:v>
      </x:c>
    </x:row>
    <x:row r="260">
      <x:c r="A260" t="str">
        <x:v>TT-US-04</x:v>
      </x:c>
      <x:c r="B260" t="n">
        <x:v>25</x:v>
      </x:c>
      <x:c r="C260" t="str">
        <x:v>Seattle/Tacoma</x:v>
      </x:c>
      <x:c r="D260" t="str">
        <x:v>Chicago</x:v>
      </x:c>
      <x:c r="E260" t="str">
        <x:v>rail</x:v>
      </x:c>
      <x:c r="F260" s="22" t="n">
        <x:v>818.4</x:v>
      </x:c>
      <x:c r="G260" s="22" t="n">
        <x:v>950.4</x:v>
      </x:c>
      <x:c r="H260" t="n">
        <x:v>5</x:v>
      </x:c>
    </x:row>
    <x:row r="261">
      <x:c r="A261" t="str">
        <x:v>TT-US-04</x:v>
      </x:c>
      <x:c r="B261" t="n">
        <x:v>26</x:v>
      </x:c>
      <x:c r="C261" t="str">
        <x:v>Seattle/Tacoma</x:v>
      </x:c>
      <x:c r="D261" t="str">
        <x:v>Chicago</x:v>
      </x:c>
      <x:c r="E261" t="str">
        <x:v>rail</x:v>
      </x:c>
      <x:c r="F261" s="22" t="n">
        <x:v>852</x:v>
      </x:c>
      <x:c r="G261" s="22" t="n">
        <x:v>984</x:v>
      </x:c>
      <x:c r="H261" t="n">
        <x:v>6</x:v>
      </x:c>
    </x:row>
    <x:row r="262">
      <x:c r="A262" t="str">
        <x:v>TT-US-04</x:v>
      </x:c>
      <x:c r="B262" t="n">
        <x:v>27</x:v>
      </x:c>
      <x:c r="C262" t="str">
        <x:v>Seattle/Tacoma</x:v>
      </x:c>
      <x:c r="D262" t="str">
        <x:v>Chicago</x:v>
      </x:c>
      <x:c r="E262" t="str">
        <x:v>rail</x:v>
      </x:c>
      <x:c r="F262" s="22" t="n">
        <x:v>885.6</x:v>
      </x:c>
      <x:c r="G262" s="22" t="n">
        <x:v>1017.6</x:v>
      </x:c>
      <x:c r="H262" t="n">
        <x:v>6</x:v>
      </x:c>
    </x:row>
    <x:row r="263">
      <x:c r="A263" t="str">
        <x:v>TT-US-04</x:v>
      </x:c>
      <x:c r="B263" t="n">
        <x:v>28</x:v>
      </x:c>
      <x:c r="C263" t="str">
        <x:v>Seattle/Tacoma</x:v>
      </x:c>
      <x:c r="D263" t="str">
        <x:v>Chicago</x:v>
      </x:c>
      <x:c r="E263" t="str">
        <x:v>rail</x:v>
      </x:c>
      <x:c r="F263" s="22" t="n">
        <x:v>919.2</x:v>
      </x:c>
      <x:c r="G263" s="22" t="n">
        <x:v>1051.2</x:v>
      </x:c>
      <x:c r="H263" t="n">
        <x:v>6</x:v>
      </x:c>
    </x:row>
    <x:row r="264">
      <x:c r="A264" t="str">
        <x:v>TT-US-04</x:v>
      </x:c>
      <x:c r="B264" t="n">
        <x:v>29</x:v>
      </x:c>
      <x:c r="C264" t="str">
        <x:v>Seattle/Tacoma</x:v>
      </x:c>
      <x:c r="D264" t="str">
        <x:v>Chicago</x:v>
      </x:c>
      <x:c r="E264" t="str">
        <x:v>rail</x:v>
      </x:c>
      <x:c r="F264" s="22" t="n">
        <x:v>952.8</x:v>
      </x:c>
      <x:c r="G264" s="22" t="n">
        <x:v>1084.8</x:v>
      </x:c>
      <x:c r="H264" t="n">
        <x:v>6</x:v>
      </x:c>
    </x:row>
    <x:row r="265">
      <x:c r="A265" t="str">
        <x:v>TT-US-04</x:v>
      </x:c>
      <x:c r="B265" t="n">
        <x:v>30</x:v>
      </x:c>
      <x:c r="C265" t="str">
        <x:v>Seattle/Tacoma</x:v>
      </x:c>
      <x:c r="D265" t="str">
        <x:v>Chicago</x:v>
      </x:c>
      <x:c r="E265" t="str">
        <x:v>rail</x:v>
      </x:c>
      <x:c r="F265" s="22" t="n">
        <x:v>986.4</x:v>
      </x:c>
      <x:c r="G265" s="22" t="n">
        <x:v>1118.4</x:v>
      </x:c>
      <x:c r="H265" t="n">
        <x:v>6</x:v>
      </x:c>
    </x:row>
    <x:row r="266">
      <x:c r="A266" t="str">
        <x:v>TT-US-04</x:v>
      </x:c>
      <x:c r="B266" t="n">
        <x:v>31</x:v>
      </x:c>
      <x:c r="C266" t="str">
        <x:v>Seattle/Tacoma</x:v>
      </x:c>
      <x:c r="D266" t="str">
        <x:v>Chicago</x:v>
      </x:c>
      <x:c r="E266" t="str">
        <x:v>rail</x:v>
      </x:c>
      <x:c r="F266" s="22" t="n">
        <x:v>1020</x:v>
      </x:c>
      <x:c r="G266" s="22" t="n">
        <x:v>1152</x:v>
      </x:c>
      <x:c r="H266" t="n">
        <x:v>7</x:v>
      </x:c>
    </x:row>
    <x:row r="267">
      <x:c r="A267" t="str">
        <x:v>TT-US-04</x:v>
      </x:c>
      <x:c r="B267" t="n">
        <x:v>32</x:v>
      </x:c>
      <x:c r="C267" t="str">
        <x:v>Seattle/Tacoma</x:v>
      </x:c>
      <x:c r="D267" t="str">
        <x:v>Chicago</x:v>
      </x:c>
      <x:c r="E267" t="str">
        <x:v>rail</x:v>
      </x:c>
      <x:c r="F267" s="22" t="n">
        <x:v>1053.6</x:v>
      </x:c>
      <x:c r="G267" s="22" t="n">
        <x:v>1185.6</x:v>
      </x:c>
      <x:c r="H267" t="n">
        <x:v>7</x:v>
      </x:c>
    </x:row>
    <x:row r="268">
      <x:c r="A268" t="str">
        <x:v>TT-US-04</x:v>
      </x:c>
      <x:c r="B268" t="n">
        <x:v>33</x:v>
      </x:c>
      <x:c r="C268" t="str">
        <x:v>Seattle/Tacoma</x:v>
      </x:c>
      <x:c r="D268" t="str">
        <x:v>Chicago</x:v>
      </x:c>
      <x:c r="E268" t="str">
        <x:v>rail</x:v>
      </x:c>
      <x:c r="F268" s="22" t="n">
        <x:v>1087.2</x:v>
      </x:c>
      <x:c r="G268" s="22" t="n">
        <x:v>1219.2</x:v>
      </x:c>
      <x:c r="H268" t="n">
        <x:v>7</x:v>
      </x:c>
    </x:row>
    <x:row r="269">
      <x:c r="A269" t="str">
        <x:v>TT-US-04</x:v>
      </x:c>
      <x:c r="B269" t="n">
        <x:v>34</x:v>
      </x:c>
      <x:c r="C269" t="str">
        <x:v>Seattle/Tacoma</x:v>
      </x:c>
      <x:c r="D269" t="str">
        <x:v>Chicago</x:v>
      </x:c>
      <x:c r="E269" t="str">
        <x:v>rail</x:v>
      </x:c>
      <x:c r="F269" s="22" t="n">
        <x:v>1120.8</x:v>
      </x:c>
      <x:c r="G269" s="22" t="n">
        <x:v>1252.8</x:v>
      </x:c>
      <x:c r="H269" t="n">
        <x:v>7</x:v>
      </x:c>
    </x:row>
    <x:row r="270">
      <x:c r="A270" t="str">
        <x:v>TT-US-04</x:v>
      </x:c>
      <x:c r="B270" t="n">
        <x:v>35</x:v>
      </x:c>
      <x:c r="C270" t="str">
        <x:v>Seattle/Tacoma</x:v>
      </x:c>
      <x:c r="D270" t="str">
        <x:v>Chicago</x:v>
      </x:c>
      <x:c r="E270" t="str">
        <x:v>rail</x:v>
      </x:c>
      <x:c r="F270" s="22" t="n">
        <x:v>1154.4</x:v>
      </x:c>
      <x:c r="G270" s="22" t="n">
        <x:v>1286.4</x:v>
      </x:c>
      <x:c r="H270" t="n">
        <x:v>7</x:v>
      </x:c>
    </x:row>
    <x:row r="271">
      <x:c r="A271" t="str">
        <x:v>TT-US-04</x:v>
      </x:c>
      <x:c r="B271" t="n">
        <x:v>36</x:v>
      </x:c>
      <x:c r="C271" t="str">
        <x:v>Seattle/Tacoma</x:v>
      </x:c>
      <x:c r="D271" t="str">
        <x:v>Chicago</x:v>
      </x:c>
      <x:c r="E271" t="str">
        <x:v>rail</x:v>
      </x:c>
      <x:c r="F271" s="22" t="n">
        <x:v>1188</x:v>
      </x:c>
      <x:c r="G271" s="22" t="n">
        <x:v>1320</x:v>
      </x:c>
      <x:c r="H271" t="n">
        <x:v>8</x:v>
      </x:c>
    </x:row>
    <x:row r="272">
      <x:c r="A272" t="str">
        <x:v>TT-US-04</x:v>
      </x:c>
      <x:c r="B272" t="n">
        <x:v>37</x:v>
      </x:c>
      <x:c r="C272" t="str">
        <x:v>Seattle/Tacoma</x:v>
      </x:c>
      <x:c r="D272" t="str">
        <x:v>Chicago</x:v>
      </x:c>
      <x:c r="E272" t="str">
        <x:v>rail</x:v>
      </x:c>
      <x:c r="F272" s="22" t="n">
        <x:v>1221.6</x:v>
      </x:c>
      <x:c r="G272" s="22" t="n">
        <x:v>1353.6</x:v>
      </x:c>
      <x:c r="H272" t="n">
        <x:v>8</x:v>
      </x:c>
    </x:row>
    <x:row r="273">
      <x:c r="A273" t="str">
        <x:v>TT-US-04</x:v>
      </x:c>
      <x:c r="B273" t="n">
        <x:v>38</x:v>
      </x:c>
      <x:c r="C273" t="str">
        <x:v>Seattle/Tacoma</x:v>
      </x:c>
      <x:c r="D273" t="str">
        <x:v>Chicago</x:v>
      </x:c>
      <x:c r="E273" t="str">
        <x:v>rail</x:v>
      </x:c>
      <x:c r="F273" s="22" t="n">
        <x:v>1255.2</x:v>
      </x:c>
      <x:c r="G273" s="22" t="n">
        <x:v>1387.2</x:v>
      </x:c>
      <x:c r="H273" t="n">
        <x:v>8</x:v>
      </x:c>
    </x:row>
    <x:row r="274">
      <x:c r="A274" t="str">
        <x:v>TT-US-04</x:v>
      </x:c>
      <x:c r="B274" t="n">
        <x:v>39</x:v>
      </x:c>
      <x:c r="C274" t="str">
        <x:v>Seattle/Tacoma</x:v>
      </x:c>
      <x:c r="D274" t="str">
        <x:v>Chicago</x:v>
      </x:c>
      <x:c r="E274" t="str">
        <x:v>rail</x:v>
      </x:c>
      <x:c r="F274" s="22" t="n">
        <x:v>1288.8</x:v>
      </x:c>
      <x:c r="G274" s="22" t="n">
        <x:v>1420.8</x:v>
      </x:c>
      <x:c r="H274" t="n">
        <x:v>8</x:v>
      </x:c>
    </x:row>
    <x:row r="275">
      <x:c r="A275" t="str">
        <x:v>TT-US-04</x:v>
      </x:c>
      <x:c r="B275" t="n">
        <x:v>40</x:v>
      </x:c>
      <x:c r="C275" t="str">
        <x:v>Seattle/Tacoma</x:v>
      </x:c>
      <x:c r="D275" t="str">
        <x:v>Chicago</x:v>
      </x:c>
      <x:c r="E275" t="str">
        <x:v>rail</x:v>
      </x:c>
      <x:c r="F275" s="22" t="n">
        <x:v>1322.4</x:v>
      </x:c>
      <x:c r="G275" s="22" t="n">
        <x:v>1454.4</x:v>
      </x:c>
      <x:c r="H275" t="n">
        <x:v>8</x:v>
      </x:c>
    </x:row>
    <x:row r="276">
      <x:c r="A276" t="str">
        <x:v>TT-US-05</x:v>
      </x:c>
      <x:c r="B276" t="n">
        <x:v>1</x:v>
      </x:c>
      <x:c r="C276" t="str">
        <x:v>Seattle/Tacoma</x:v>
      </x:c>
      <x:c r="D276" t="str">
        <x:v>Memphis</x:v>
      </x:c>
      <x:c r="E276" t="str">
        <x:v>rail</x:v>
      </x:c>
      <x:c r="F276" s="22" t="n">
        <x:v>12</x:v>
      </x:c>
      <x:c r="G276" s="22" t="n">
        <x:v>156</x:v>
      </x:c>
      <x:c r="H276" t="n">
        <x:v>1</x:v>
      </x:c>
    </x:row>
    <x:row r="277">
      <x:c r="A277" t="str">
        <x:v>TT-US-05</x:v>
      </x:c>
      <x:c r="B277" t="n">
        <x:v>2</x:v>
      </x:c>
      <x:c r="C277" t="str">
        <x:v>Seattle/Tacoma</x:v>
      </x:c>
      <x:c r="D277" t="str">
        <x:v>Memphis</x:v>
      </x:c>
      <x:c r="E277" t="str">
        <x:v>rail</x:v>
      </x:c>
      <x:c r="F277" s="22" t="n">
        <x:v>45.6</x:v>
      </x:c>
      <x:c r="G277" s="22" t="n">
        <x:v>189.6</x:v>
      </x:c>
      <x:c r="H277" t="n">
        <x:v>1</x:v>
      </x:c>
    </x:row>
    <x:row r="278">
      <x:c r="A278" t="str">
        <x:v>TT-US-05</x:v>
      </x:c>
      <x:c r="B278" t="n">
        <x:v>3</x:v>
      </x:c>
      <x:c r="C278" t="str">
        <x:v>Seattle/Tacoma</x:v>
      </x:c>
      <x:c r="D278" t="str">
        <x:v>Memphis</x:v>
      </x:c>
      <x:c r="E278" t="str">
        <x:v>rail</x:v>
      </x:c>
      <x:c r="F278" s="22" t="n">
        <x:v>79.2</x:v>
      </x:c>
      <x:c r="G278" s="22" t="n">
        <x:v>223.2</x:v>
      </x:c>
      <x:c r="H278" t="n">
        <x:v>1</x:v>
      </x:c>
    </x:row>
    <x:row r="279">
      <x:c r="A279" t="str">
        <x:v>TT-US-05</x:v>
      </x:c>
      <x:c r="B279" t="n">
        <x:v>4</x:v>
      </x:c>
      <x:c r="C279" t="str">
        <x:v>Seattle/Tacoma</x:v>
      </x:c>
      <x:c r="D279" t="str">
        <x:v>Memphis</x:v>
      </x:c>
      <x:c r="E279" t="str">
        <x:v>rail</x:v>
      </x:c>
      <x:c r="F279" s="22" t="n">
        <x:v>112.8</x:v>
      </x:c>
      <x:c r="G279" s="22" t="n">
        <x:v>256.8</x:v>
      </x:c>
      <x:c r="H279" t="n">
        <x:v>1</x:v>
      </x:c>
    </x:row>
    <x:row r="280">
      <x:c r="A280" t="str">
        <x:v>TT-US-05</x:v>
      </x:c>
      <x:c r="B280" t="n">
        <x:v>5</x:v>
      </x:c>
      <x:c r="C280" t="str">
        <x:v>Seattle/Tacoma</x:v>
      </x:c>
      <x:c r="D280" t="str">
        <x:v>Memphis</x:v>
      </x:c>
      <x:c r="E280" t="str">
        <x:v>rail</x:v>
      </x:c>
      <x:c r="F280" s="22" t="n">
        <x:v>146.4</x:v>
      </x:c>
      <x:c r="G280" s="22" t="n">
        <x:v>290.4</x:v>
      </x:c>
      <x:c r="H280" t="n">
        <x:v>1</x:v>
      </x:c>
    </x:row>
    <x:row r="281">
      <x:c r="A281" t="str">
        <x:v>TT-US-05</x:v>
      </x:c>
      <x:c r="B281" t="n">
        <x:v>6</x:v>
      </x:c>
      <x:c r="C281" t="str">
        <x:v>Seattle/Tacoma</x:v>
      </x:c>
      <x:c r="D281" t="str">
        <x:v>Memphis</x:v>
      </x:c>
      <x:c r="E281" t="str">
        <x:v>rail</x:v>
      </x:c>
      <x:c r="F281" s="22" t="n">
        <x:v>180</x:v>
      </x:c>
      <x:c r="G281" s="22" t="n">
        <x:v>324</x:v>
      </x:c>
      <x:c r="H281" t="n">
        <x:v>2</x:v>
      </x:c>
    </x:row>
    <x:row r="282">
      <x:c r="A282" t="str">
        <x:v>TT-US-05</x:v>
      </x:c>
      <x:c r="B282" t="n">
        <x:v>7</x:v>
      </x:c>
      <x:c r="C282" t="str">
        <x:v>Seattle/Tacoma</x:v>
      </x:c>
      <x:c r="D282" t="str">
        <x:v>Memphis</x:v>
      </x:c>
      <x:c r="E282" t="str">
        <x:v>rail</x:v>
      </x:c>
      <x:c r="F282" s="22" t="n">
        <x:v>213.6</x:v>
      </x:c>
      <x:c r="G282" s="22" t="n">
        <x:v>357.6</x:v>
      </x:c>
      <x:c r="H282" t="n">
        <x:v>2</x:v>
      </x:c>
    </x:row>
    <x:row r="283">
      <x:c r="A283" t="str">
        <x:v>TT-US-05</x:v>
      </x:c>
      <x:c r="B283" t="n">
        <x:v>8</x:v>
      </x:c>
      <x:c r="C283" t="str">
        <x:v>Seattle/Tacoma</x:v>
      </x:c>
      <x:c r="D283" t="str">
        <x:v>Memphis</x:v>
      </x:c>
      <x:c r="E283" t="str">
        <x:v>rail</x:v>
      </x:c>
      <x:c r="F283" s="22" t="n">
        <x:v>247.2</x:v>
      </x:c>
      <x:c r="G283" s="22" t="n">
        <x:v>391.2</x:v>
      </x:c>
      <x:c r="H283" t="n">
        <x:v>2</x:v>
      </x:c>
    </x:row>
    <x:row r="284">
      <x:c r="A284" t="str">
        <x:v>TT-US-05</x:v>
      </x:c>
      <x:c r="B284" t="n">
        <x:v>9</x:v>
      </x:c>
      <x:c r="C284" t="str">
        <x:v>Seattle/Tacoma</x:v>
      </x:c>
      <x:c r="D284" t="str">
        <x:v>Memphis</x:v>
      </x:c>
      <x:c r="E284" t="str">
        <x:v>rail</x:v>
      </x:c>
      <x:c r="F284" s="22" t="n">
        <x:v>280.8</x:v>
      </x:c>
      <x:c r="G284" s="22" t="n">
        <x:v>424.8</x:v>
      </x:c>
      <x:c r="H284" t="n">
        <x:v>2</x:v>
      </x:c>
    </x:row>
    <x:row r="285">
      <x:c r="A285" t="str">
        <x:v>TT-US-05</x:v>
      </x:c>
      <x:c r="B285" t="n">
        <x:v>10</x:v>
      </x:c>
      <x:c r="C285" t="str">
        <x:v>Seattle/Tacoma</x:v>
      </x:c>
      <x:c r="D285" t="str">
        <x:v>Memphis</x:v>
      </x:c>
      <x:c r="E285" t="str">
        <x:v>rail</x:v>
      </x:c>
      <x:c r="F285" s="22" t="n">
        <x:v>314.4</x:v>
      </x:c>
      <x:c r="G285" s="22" t="n">
        <x:v>458.4</x:v>
      </x:c>
      <x:c r="H285" t="n">
        <x:v>2</x:v>
      </x:c>
    </x:row>
    <x:row r="286">
      <x:c r="A286" t="str">
        <x:v>TT-US-05</x:v>
      </x:c>
      <x:c r="B286" t="n">
        <x:v>11</x:v>
      </x:c>
      <x:c r="C286" t="str">
        <x:v>Seattle/Tacoma</x:v>
      </x:c>
      <x:c r="D286" t="str">
        <x:v>Memphis</x:v>
      </x:c>
      <x:c r="E286" t="str">
        <x:v>rail</x:v>
      </x:c>
      <x:c r="F286" s="22" t="n">
        <x:v>348</x:v>
      </x:c>
      <x:c r="G286" s="22" t="n">
        <x:v>492</x:v>
      </x:c>
      <x:c r="H286" t="n">
        <x:v>3</x:v>
      </x:c>
    </x:row>
    <x:row r="287">
      <x:c r="A287" t="str">
        <x:v>TT-US-05</x:v>
      </x:c>
      <x:c r="B287" t="n">
        <x:v>12</x:v>
      </x:c>
      <x:c r="C287" t="str">
        <x:v>Seattle/Tacoma</x:v>
      </x:c>
      <x:c r="D287" t="str">
        <x:v>Memphis</x:v>
      </x:c>
      <x:c r="E287" t="str">
        <x:v>rail</x:v>
      </x:c>
      <x:c r="F287" s="22" t="n">
        <x:v>381.6</x:v>
      </x:c>
      <x:c r="G287" s="22" t="n">
        <x:v>525.6</x:v>
      </x:c>
      <x:c r="H287" t="n">
        <x:v>3</x:v>
      </x:c>
    </x:row>
    <x:row r="288">
      <x:c r="A288" t="str">
        <x:v>TT-US-05</x:v>
      </x:c>
      <x:c r="B288" t="n">
        <x:v>13</x:v>
      </x:c>
      <x:c r="C288" t="str">
        <x:v>Seattle/Tacoma</x:v>
      </x:c>
      <x:c r="D288" t="str">
        <x:v>Memphis</x:v>
      </x:c>
      <x:c r="E288" t="str">
        <x:v>rail</x:v>
      </x:c>
      <x:c r="F288" s="22" t="n">
        <x:v>415.2</x:v>
      </x:c>
      <x:c r="G288" s="22" t="n">
        <x:v>559.2</x:v>
      </x:c>
      <x:c r="H288" t="n">
        <x:v>3</x:v>
      </x:c>
    </x:row>
    <x:row r="289">
      <x:c r="A289" t="str">
        <x:v>TT-US-05</x:v>
      </x:c>
      <x:c r="B289" t="n">
        <x:v>14</x:v>
      </x:c>
      <x:c r="C289" t="str">
        <x:v>Seattle/Tacoma</x:v>
      </x:c>
      <x:c r="D289" t="str">
        <x:v>Memphis</x:v>
      </x:c>
      <x:c r="E289" t="str">
        <x:v>rail</x:v>
      </x:c>
      <x:c r="F289" s="22" t="n">
        <x:v>448.8</x:v>
      </x:c>
      <x:c r="G289" s="22" t="n">
        <x:v>592.8</x:v>
      </x:c>
      <x:c r="H289" t="n">
        <x:v>3</x:v>
      </x:c>
    </x:row>
    <x:row r="290">
      <x:c r="A290" t="str">
        <x:v>TT-US-05</x:v>
      </x:c>
      <x:c r="B290" t="n">
        <x:v>15</x:v>
      </x:c>
      <x:c r="C290" t="str">
        <x:v>Seattle/Tacoma</x:v>
      </x:c>
      <x:c r="D290" t="str">
        <x:v>Memphis</x:v>
      </x:c>
      <x:c r="E290" t="str">
        <x:v>rail</x:v>
      </x:c>
      <x:c r="F290" s="22" t="n">
        <x:v>482.4</x:v>
      </x:c>
      <x:c r="G290" s="22" t="n">
        <x:v>626.4</x:v>
      </x:c>
      <x:c r="H290" t="n">
        <x:v>3</x:v>
      </x:c>
    </x:row>
    <x:row r="291">
      <x:c r="A291" t="str">
        <x:v>TT-US-05</x:v>
      </x:c>
      <x:c r="B291" t="n">
        <x:v>16</x:v>
      </x:c>
      <x:c r="C291" t="str">
        <x:v>Seattle/Tacoma</x:v>
      </x:c>
      <x:c r="D291" t="str">
        <x:v>Memphis</x:v>
      </x:c>
      <x:c r="E291" t="str">
        <x:v>rail</x:v>
      </x:c>
      <x:c r="F291" s="22" t="n">
        <x:v>516</x:v>
      </x:c>
      <x:c r="G291" s="22" t="n">
        <x:v>660</x:v>
      </x:c>
      <x:c r="H291" t="n">
        <x:v>4</x:v>
      </x:c>
    </x:row>
    <x:row r="292">
      <x:c r="A292" t="str">
        <x:v>TT-US-05</x:v>
      </x:c>
      <x:c r="B292" t="n">
        <x:v>17</x:v>
      </x:c>
      <x:c r="C292" t="str">
        <x:v>Seattle/Tacoma</x:v>
      </x:c>
      <x:c r="D292" t="str">
        <x:v>Memphis</x:v>
      </x:c>
      <x:c r="E292" t="str">
        <x:v>rail</x:v>
      </x:c>
      <x:c r="F292" s="22" t="n">
        <x:v>549.6</x:v>
      </x:c>
      <x:c r="G292" s="22" t="n">
        <x:v>693.6</x:v>
      </x:c>
      <x:c r="H292" t="n">
        <x:v>4</x:v>
      </x:c>
    </x:row>
    <x:row r="293">
      <x:c r="A293" t="str">
        <x:v>TT-US-05</x:v>
      </x:c>
      <x:c r="B293" t="n">
        <x:v>18</x:v>
      </x:c>
      <x:c r="C293" t="str">
        <x:v>Seattle/Tacoma</x:v>
      </x:c>
      <x:c r="D293" t="str">
        <x:v>Memphis</x:v>
      </x:c>
      <x:c r="E293" t="str">
        <x:v>rail</x:v>
      </x:c>
      <x:c r="F293" s="22" t="n">
        <x:v>583.2</x:v>
      </x:c>
      <x:c r="G293" s="22" t="n">
        <x:v>727.2</x:v>
      </x:c>
      <x:c r="H293" t="n">
        <x:v>4</x:v>
      </x:c>
    </x:row>
    <x:row r="294">
      <x:c r="A294" t="str">
        <x:v>TT-US-05</x:v>
      </x:c>
      <x:c r="B294" t="n">
        <x:v>19</x:v>
      </x:c>
      <x:c r="C294" t="str">
        <x:v>Seattle/Tacoma</x:v>
      </x:c>
      <x:c r="D294" t="str">
        <x:v>Memphis</x:v>
      </x:c>
      <x:c r="E294" t="str">
        <x:v>rail</x:v>
      </x:c>
      <x:c r="F294" s="22" t="n">
        <x:v>616.8</x:v>
      </x:c>
      <x:c r="G294" s="22" t="n">
        <x:v>760.8</x:v>
      </x:c>
      <x:c r="H294" t="n">
        <x:v>4</x:v>
      </x:c>
    </x:row>
    <x:row r="295">
      <x:c r="A295" t="str">
        <x:v>TT-US-05</x:v>
      </x:c>
      <x:c r="B295" t="n">
        <x:v>20</x:v>
      </x:c>
      <x:c r="C295" t="str">
        <x:v>Seattle/Tacoma</x:v>
      </x:c>
      <x:c r="D295" t="str">
        <x:v>Memphis</x:v>
      </x:c>
      <x:c r="E295" t="str">
        <x:v>rail</x:v>
      </x:c>
      <x:c r="F295" s="22" t="n">
        <x:v>650.4</x:v>
      </x:c>
      <x:c r="G295" s="22" t="n">
        <x:v>794.4</x:v>
      </x:c>
      <x:c r="H295" t="n">
        <x:v>4</x:v>
      </x:c>
    </x:row>
    <x:row r="296">
      <x:c r="A296" t="str">
        <x:v>TT-US-05</x:v>
      </x:c>
      <x:c r="B296" t="n">
        <x:v>21</x:v>
      </x:c>
      <x:c r="C296" t="str">
        <x:v>Seattle/Tacoma</x:v>
      </x:c>
      <x:c r="D296" t="str">
        <x:v>Memphis</x:v>
      </x:c>
      <x:c r="E296" t="str">
        <x:v>rail</x:v>
      </x:c>
      <x:c r="F296" s="22" t="n">
        <x:v>684</x:v>
      </x:c>
      <x:c r="G296" s="22" t="n">
        <x:v>828</x:v>
      </x:c>
      <x:c r="H296" t="n">
        <x:v>5</x:v>
      </x:c>
    </x:row>
    <x:row r="297">
      <x:c r="A297" t="str">
        <x:v>TT-US-05</x:v>
      </x:c>
      <x:c r="B297" t="n">
        <x:v>22</x:v>
      </x:c>
      <x:c r="C297" t="str">
        <x:v>Seattle/Tacoma</x:v>
      </x:c>
      <x:c r="D297" t="str">
        <x:v>Memphis</x:v>
      </x:c>
      <x:c r="E297" t="str">
        <x:v>rail</x:v>
      </x:c>
      <x:c r="F297" s="22" t="n">
        <x:v>717.6</x:v>
      </x:c>
      <x:c r="G297" s="22" t="n">
        <x:v>861.6</x:v>
      </x:c>
      <x:c r="H297" t="n">
        <x:v>5</x:v>
      </x:c>
    </x:row>
    <x:row r="298">
      <x:c r="A298" t="str">
        <x:v>TT-US-05</x:v>
      </x:c>
      <x:c r="B298" t="n">
        <x:v>23</x:v>
      </x:c>
      <x:c r="C298" t="str">
        <x:v>Seattle/Tacoma</x:v>
      </x:c>
      <x:c r="D298" t="str">
        <x:v>Memphis</x:v>
      </x:c>
      <x:c r="E298" t="str">
        <x:v>rail</x:v>
      </x:c>
      <x:c r="F298" s="22" t="n">
        <x:v>751.2</x:v>
      </x:c>
      <x:c r="G298" s="22" t="n">
        <x:v>895.2</x:v>
      </x:c>
      <x:c r="H298" t="n">
        <x:v>5</x:v>
      </x:c>
    </x:row>
    <x:row r="299">
      <x:c r="A299" t="str">
        <x:v>TT-US-05</x:v>
      </x:c>
      <x:c r="B299" t="n">
        <x:v>24</x:v>
      </x:c>
      <x:c r="C299" t="str">
        <x:v>Seattle/Tacoma</x:v>
      </x:c>
      <x:c r="D299" t="str">
        <x:v>Memphis</x:v>
      </x:c>
      <x:c r="E299" t="str">
        <x:v>rail</x:v>
      </x:c>
      <x:c r="F299" s="22" t="n">
        <x:v>784.8</x:v>
      </x:c>
      <x:c r="G299" s="22" t="n">
        <x:v>928.8</x:v>
      </x:c>
      <x:c r="H299" t="n">
        <x:v>5</x:v>
      </x:c>
    </x:row>
    <x:row r="300">
      <x:c r="A300" t="str">
        <x:v>TT-US-05</x:v>
      </x:c>
      <x:c r="B300" t="n">
        <x:v>25</x:v>
      </x:c>
      <x:c r="C300" t="str">
        <x:v>Seattle/Tacoma</x:v>
      </x:c>
      <x:c r="D300" t="str">
        <x:v>Memphis</x:v>
      </x:c>
      <x:c r="E300" t="str">
        <x:v>rail</x:v>
      </x:c>
      <x:c r="F300" s="22" t="n">
        <x:v>818.4</x:v>
      </x:c>
      <x:c r="G300" s="22" t="n">
        <x:v>962.4</x:v>
      </x:c>
      <x:c r="H300" t="n">
        <x:v>5</x:v>
      </x:c>
    </x:row>
    <x:row r="301">
      <x:c r="A301" t="str">
        <x:v>TT-US-05</x:v>
      </x:c>
      <x:c r="B301" t="n">
        <x:v>26</x:v>
      </x:c>
      <x:c r="C301" t="str">
        <x:v>Seattle/Tacoma</x:v>
      </x:c>
      <x:c r="D301" t="str">
        <x:v>Memphis</x:v>
      </x:c>
      <x:c r="E301" t="str">
        <x:v>rail</x:v>
      </x:c>
      <x:c r="F301" s="22" t="n">
        <x:v>852</x:v>
      </x:c>
      <x:c r="G301" s="22" t="n">
        <x:v>996</x:v>
      </x:c>
      <x:c r="H301" t="n">
        <x:v>6</x:v>
      </x:c>
    </x:row>
    <x:row r="302">
      <x:c r="A302" t="str">
        <x:v>TT-US-05</x:v>
      </x:c>
      <x:c r="B302" t="n">
        <x:v>27</x:v>
      </x:c>
      <x:c r="C302" t="str">
        <x:v>Seattle/Tacoma</x:v>
      </x:c>
      <x:c r="D302" t="str">
        <x:v>Memphis</x:v>
      </x:c>
      <x:c r="E302" t="str">
        <x:v>rail</x:v>
      </x:c>
      <x:c r="F302" s="22" t="n">
        <x:v>885.6</x:v>
      </x:c>
      <x:c r="G302" s="22" t="n">
        <x:v>1029.6</x:v>
      </x:c>
      <x:c r="H302" t="n">
        <x:v>6</x:v>
      </x:c>
    </x:row>
    <x:row r="303">
      <x:c r="A303" t="str">
        <x:v>TT-US-05</x:v>
      </x:c>
      <x:c r="B303" t="n">
        <x:v>28</x:v>
      </x:c>
      <x:c r="C303" t="str">
        <x:v>Seattle/Tacoma</x:v>
      </x:c>
      <x:c r="D303" t="str">
        <x:v>Memphis</x:v>
      </x:c>
      <x:c r="E303" t="str">
        <x:v>rail</x:v>
      </x:c>
      <x:c r="F303" s="22" t="n">
        <x:v>919.2</x:v>
      </x:c>
      <x:c r="G303" s="22" t="n">
        <x:v>1063.2</x:v>
      </x:c>
      <x:c r="H303" t="n">
        <x:v>6</x:v>
      </x:c>
    </x:row>
    <x:row r="304">
      <x:c r="A304" t="str">
        <x:v>TT-US-05</x:v>
      </x:c>
      <x:c r="B304" t="n">
        <x:v>29</x:v>
      </x:c>
      <x:c r="C304" t="str">
        <x:v>Seattle/Tacoma</x:v>
      </x:c>
      <x:c r="D304" t="str">
        <x:v>Memphis</x:v>
      </x:c>
      <x:c r="E304" t="str">
        <x:v>rail</x:v>
      </x:c>
      <x:c r="F304" s="22" t="n">
        <x:v>952.8</x:v>
      </x:c>
      <x:c r="G304" s="22" t="n">
        <x:v>1096.8</x:v>
      </x:c>
      <x:c r="H304" t="n">
        <x:v>6</x:v>
      </x:c>
    </x:row>
    <x:row r="305">
      <x:c r="A305" t="str">
        <x:v>TT-US-05</x:v>
      </x:c>
      <x:c r="B305" t="n">
        <x:v>30</x:v>
      </x:c>
      <x:c r="C305" t="str">
        <x:v>Seattle/Tacoma</x:v>
      </x:c>
      <x:c r="D305" t="str">
        <x:v>Memphis</x:v>
      </x:c>
      <x:c r="E305" t="str">
        <x:v>rail</x:v>
      </x:c>
      <x:c r="F305" s="22" t="n">
        <x:v>986.4</x:v>
      </x:c>
      <x:c r="G305" s="22" t="n">
        <x:v>1130.4</x:v>
      </x:c>
      <x:c r="H305" t="n">
        <x:v>6</x:v>
      </x:c>
    </x:row>
    <x:row r="306">
      <x:c r="A306" t="str">
        <x:v>TT-US-05</x:v>
      </x:c>
      <x:c r="B306" t="n">
        <x:v>31</x:v>
      </x:c>
      <x:c r="C306" t="str">
        <x:v>Seattle/Tacoma</x:v>
      </x:c>
      <x:c r="D306" t="str">
        <x:v>Memphis</x:v>
      </x:c>
      <x:c r="E306" t="str">
        <x:v>rail</x:v>
      </x:c>
      <x:c r="F306" s="22" t="n">
        <x:v>1020</x:v>
      </x:c>
      <x:c r="G306" s="22" t="n">
        <x:v>1164</x:v>
      </x:c>
      <x:c r="H306" t="n">
        <x:v>7</x:v>
      </x:c>
    </x:row>
    <x:row r="307">
      <x:c r="A307" t="str">
        <x:v>TT-US-05</x:v>
      </x:c>
      <x:c r="B307" t="n">
        <x:v>32</x:v>
      </x:c>
      <x:c r="C307" t="str">
        <x:v>Seattle/Tacoma</x:v>
      </x:c>
      <x:c r="D307" t="str">
        <x:v>Memphis</x:v>
      </x:c>
      <x:c r="E307" t="str">
        <x:v>rail</x:v>
      </x:c>
      <x:c r="F307" s="22" t="n">
        <x:v>1053.6</x:v>
      </x:c>
      <x:c r="G307" s="22" t="n">
        <x:v>1197.6</x:v>
      </x:c>
      <x:c r="H307" t="n">
        <x:v>7</x:v>
      </x:c>
    </x:row>
    <x:row r="308">
      <x:c r="A308" t="str">
        <x:v>TT-US-05</x:v>
      </x:c>
      <x:c r="B308" t="n">
        <x:v>33</x:v>
      </x:c>
      <x:c r="C308" t="str">
        <x:v>Seattle/Tacoma</x:v>
      </x:c>
      <x:c r="D308" t="str">
        <x:v>Memphis</x:v>
      </x:c>
      <x:c r="E308" t="str">
        <x:v>rail</x:v>
      </x:c>
      <x:c r="F308" s="22" t="n">
        <x:v>1087.2</x:v>
      </x:c>
      <x:c r="G308" s="22" t="n">
        <x:v>1231.2</x:v>
      </x:c>
      <x:c r="H308" t="n">
        <x:v>7</x:v>
      </x:c>
    </x:row>
    <x:row r="309">
      <x:c r="A309" t="str">
        <x:v>TT-US-05</x:v>
      </x:c>
      <x:c r="B309" t="n">
        <x:v>34</x:v>
      </x:c>
      <x:c r="C309" t="str">
        <x:v>Seattle/Tacoma</x:v>
      </x:c>
      <x:c r="D309" t="str">
        <x:v>Memphis</x:v>
      </x:c>
      <x:c r="E309" t="str">
        <x:v>rail</x:v>
      </x:c>
      <x:c r="F309" s="22" t="n">
        <x:v>1120.8</x:v>
      </x:c>
      <x:c r="G309" s="22" t="n">
        <x:v>1264.8</x:v>
      </x:c>
      <x:c r="H309" t="n">
        <x:v>7</x:v>
      </x:c>
    </x:row>
    <x:row r="310">
      <x:c r="A310" t="str">
        <x:v>TT-US-05</x:v>
      </x:c>
      <x:c r="B310" t="n">
        <x:v>35</x:v>
      </x:c>
      <x:c r="C310" t="str">
        <x:v>Seattle/Tacoma</x:v>
      </x:c>
      <x:c r="D310" t="str">
        <x:v>Memphis</x:v>
      </x:c>
      <x:c r="E310" t="str">
        <x:v>rail</x:v>
      </x:c>
      <x:c r="F310" s="22" t="n">
        <x:v>1154.4</x:v>
      </x:c>
      <x:c r="G310" s="22" t="n">
        <x:v>1298.4</x:v>
      </x:c>
      <x:c r="H310" t="n">
        <x:v>7</x:v>
      </x:c>
    </x:row>
    <x:row r="311">
      <x:c r="A311" t="str">
        <x:v>TT-US-05</x:v>
      </x:c>
      <x:c r="B311" t="n">
        <x:v>36</x:v>
      </x:c>
      <x:c r="C311" t="str">
        <x:v>Seattle/Tacoma</x:v>
      </x:c>
      <x:c r="D311" t="str">
        <x:v>Memphis</x:v>
      </x:c>
      <x:c r="E311" t="str">
        <x:v>rail</x:v>
      </x:c>
      <x:c r="F311" s="22" t="n">
        <x:v>1188</x:v>
      </x:c>
      <x:c r="G311" s="22" t="n">
        <x:v>1332</x:v>
      </x:c>
      <x:c r="H311" t="n">
        <x:v>8</x:v>
      </x:c>
    </x:row>
    <x:row r="312">
      <x:c r="A312" t="str">
        <x:v>TT-US-05</x:v>
      </x:c>
      <x:c r="B312" t="n">
        <x:v>37</x:v>
      </x:c>
      <x:c r="C312" t="str">
        <x:v>Seattle/Tacoma</x:v>
      </x:c>
      <x:c r="D312" t="str">
        <x:v>Memphis</x:v>
      </x:c>
      <x:c r="E312" t="str">
        <x:v>rail</x:v>
      </x:c>
      <x:c r="F312" s="22" t="n">
        <x:v>1221.6</x:v>
      </x:c>
      <x:c r="G312" s="22" t="n">
        <x:v>1365.6</x:v>
      </x:c>
      <x:c r="H312" t="n">
        <x:v>8</x:v>
      </x:c>
    </x:row>
    <x:row r="313">
      <x:c r="A313" t="str">
        <x:v>TT-US-05</x:v>
      </x:c>
      <x:c r="B313" t="n">
        <x:v>38</x:v>
      </x:c>
      <x:c r="C313" t="str">
        <x:v>Seattle/Tacoma</x:v>
      </x:c>
      <x:c r="D313" t="str">
        <x:v>Memphis</x:v>
      </x:c>
      <x:c r="E313" t="str">
        <x:v>rail</x:v>
      </x:c>
      <x:c r="F313" s="22" t="n">
        <x:v>1255.2</x:v>
      </x:c>
      <x:c r="G313" s="22" t="n">
        <x:v>1399.2</x:v>
      </x:c>
      <x:c r="H313" t="n">
        <x:v>8</x:v>
      </x:c>
    </x:row>
    <x:row r="314">
      <x:c r="A314" t="str">
        <x:v>TT-US-05</x:v>
      </x:c>
      <x:c r="B314" t="n">
        <x:v>39</x:v>
      </x:c>
      <x:c r="C314" t="str">
        <x:v>Seattle/Tacoma</x:v>
      </x:c>
      <x:c r="D314" t="str">
        <x:v>Memphis</x:v>
      </x:c>
      <x:c r="E314" t="str">
        <x:v>rail</x:v>
      </x:c>
      <x:c r="F314" s="22" t="n">
        <x:v>1288.8</x:v>
      </x:c>
      <x:c r="G314" s="22" t="n">
        <x:v>1432.8</x:v>
      </x:c>
      <x:c r="H314" t="n">
        <x:v>8</x:v>
      </x:c>
    </x:row>
    <x:row r="315">
      <x:c r="A315" t="str">
        <x:v>TT-US-05</x:v>
      </x:c>
      <x:c r="B315" t="n">
        <x:v>40</x:v>
      </x:c>
      <x:c r="C315" t="str">
        <x:v>Seattle/Tacoma</x:v>
      </x:c>
      <x:c r="D315" t="str">
        <x:v>Memphis</x:v>
      </x:c>
      <x:c r="E315" t="str">
        <x:v>rail</x:v>
      </x:c>
      <x:c r="F315" s="22" t="n">
        <x:v>1322.4</x:v>
      </x:c>
      <x:c r="G315" s="22" t="n">
        <x:v>1466.4</x:v>
      </x:c>
      <x:c r="H315" t="n">
        <x:v>8</x:v>
      </x:c>
    </x:row>
    <x:row r="316">
      <x:c r="A316" t="str">
        <x:v>TT-US-06</x:v>
      </x:c>
      <x:c r="B316" t="n">
        <x:v>1</x:v>
      </x:c>
      <x:c r="C316" t="str">
        <x:v>Seattle/Tacoma</x:v>
      </x:c>
      <x:c r="D316" t="str">
        <x:v>Columbus</x:v>
      </x:c>
      <x:c r="E316" t="str">
        <x:v>rail</x:v>
      </x:c>
      <x:c r="F316" s="22" t="n">
        <x:v>12</x:v>
      </x:c>
      <x:c r="G316" s="22" t="n">
        <x:v>168</x:v>
      </x:c>
      <x:c r="H316" t="n">
        <x:v>1</x:v>
      </x:c>
    </x:row>
    <x:row r="317">
      <x:c r="A317" t="str">
        <x:v>TT-US-06</x:v>
      </x:c>
      <x:c r="B317" t="n">
        <x:v>2</x:v>
      </x:c>
      <x:c r="C317" t="str">
        <x:v>Seattle/Tacoma</x:v>
      </x:c>
      <x:c r="D317" t="str">
        <x:v>Columbus</x:v>
      </x:c>
      <x:c r="E317" t="str">
        <x:v>rail</x:v>
      </x:c>
      <x:c r="F317" s="22" t="n">
        <x:v>45.6</x:v>
      </x:c>
      <x:c r="G317" s="22" t="n">
        <x:v>201.6</x:v>
      </x:c>
      <x:c r="H317" t="n">
        <x:v>1</x:v>
      </x:c>
    </x:row>
    <x:row r="318">
      <x:c r="A318" t="str">
        <x:v>TT-US-06</x:v>
      </x:c>
      <x:c r="B318" t="n">
        <x:v>3</x:v>
      </x:c>
      <x:c r="C318" t="str">
        <x:v>Seattle/Tacoma</x:v>
      </x:c>
      <x:c r="D318" t="str">
        <x:v>Columbus</x:v>
      </x:c>
      <x:c r="E318" t="str">
        <x:v>rail</x:v>
      </x:c>
      <x:c r="F318" s="22" t="n">
        <x:v>79.2</x:v>
      </x:c>
      <x:c r="G318" s="22" t="n">
        <x:v>235.2</x:v>
      </x:c>
      <x:c r="H318" t="n">
        <x:v>1</x:v>
      </x:c>
    </x:row>
    <x:row r="319">
      <x:c r="A319" t="str">
        <x:v>TT-US-06</x:v>
      </x:c>
      <x:c r="B319" t="n">
        <x:v>4</x:v>
      </x:c>
      <x:c r="C319" t="str">
        <x:v>Seattle/Tacoma</x:v>
      </x:c>
      <x:c r="D319" t="str">
        <x:v>Columbus</x:v>
      </x:c>
      <x:c r="E319" t="str">
        <x:v>rail</x:v>
      </x:c>
      <x:c r="F319" s="22" t="n">
        <x:v>112.8</x:v>
      </x:c>
      <x:c r="G319" s="22" t="n">
        <x:v>268.8</x:v>
      </x:c>
      <x:c r="H319" t="n">
        <x:v>1</x:v>
      </x:c>
    </x:row>
    <x:row r="320">
      <x:c r="A320" t="str">
        <x:v>TT-US-06</x:v>
      </x:c>
      <x:c r="B320" t="n">
        <x:v>5</x:v>
      </x:c>
      <x:c r="C320" t="str">
        <x:v>Seattle/Tacoma</x:v>
      </x:c>
      <x:c r="D320" t="str">
        <x:v>Columbus</x:v>
      </x:c>
      <x:c r="E320" t="str">
        <x:v>rail</x:v>
      </x:c>
      <x:c r="F320" s="22" t="n">
        <x:v>146.4</x:v>
      </x:c>
      <x:c r="G320" s="22" t="n">
        <x:v>302.4</x:v>
      </x:c>
      <x:c r="H320" t="n">
        <x:v>1</x:v>
      </x:c>
    </x:row>
    <x:row r="321">
      <x:c r="A321" t="str">
        <x:v>TT-US-06</x:v>
      </x:c>
      <x:c r="B321" t="n">
        <x:v>6</x:v>
      </x:c>
      <x:c r="C321" t="str">
        <x:v>Seattle/Tacoma</x:v>
      </x:c>
      <x:c r="D321" t="str">
        <x:v>Columbus</x:v>
      </x:c>
      <x:c r="E321" t="str">
        <x:v>rail</x:v>
      </x:c>
      <x:c r="F321" s="22" t="n">
        <x:v>180</x:v>
      </x:c>
      <x:c r="G321" s="22" t="n">
        <x:v>336</x:v>
      </x:c>
      <x:c r="H321" t="n">
        <x:v>2</x:v>
      </x:c>
    </x:row>
    <x:row r="322">
      <x:c r="A322" t="str">
        <x:v>TT-US-06</x:v>
      </x:c>
      <x:c r="B322" t="n">
        <x:v>7</x:v>
      </x:c>
      <x:c r="C322" t="str">
        <x:v>Seattle/Tacoma</x:v>
      </x:c>
      <x:c r="D322" t="str">
        <x:v>Columbus</x:v>
      </x:c>
      <x:c r="E322" t="str">
        <x:v>rail</x:v>
      </x:c>
      <x:c r="F322" s="22" t="n">
        <x:v>213.6</x:v>
      </x:c>
      <x:c r="G322" s="22" t="n">
        <x:v>369.6</x:v>
      </x:c>
      <x:c r="H322" t="n">
        <x:v>2</x:v>
      </x:c>
    </x:row>
    <x:row r="323">
      <x:c r="A323" t="str">
        <x:v>TT-US-06</x:v>
      </x:c>
      <x:c r="B323" t="n">
        <x:v>8</x:v>
      </x:c>
      <x:c r="C323" t="str">
        <x:v>Seattle/Tacoma</x:v>
      </x:c>
      <x:c r="D323" t="str">
        <x:v>Columbus</x:v>
      </x:c>
      <x:c r="E323" t="str">
        <x:v>rail</x:v>
      </x:c>
      <x:c r="F323" s="22" t="n">
        <x:v>247.2</x:v>
      </x:c>
      <x:c r="G323" s="22" t="n">
        <x:v>403.2</x:v>
      </x:c>
      <x:c r="H323" t="n">
        <x:v>2</x:v>
      </x:c>
    </x:row>
    <x:row r="324">
      <x:c r="A324" t="str">
        <x:v>TT-US-06</x:v>
      </x:c>
      <x:c r="B324" t="n">
        <x:v>9</x:v>
      </x:c>
      <x:c r="C324" t="str">
        <x:v>Seattle/Tacoma</x:v>
      </x:c>
      <x:c r="D324" t="str">
        <x:v>Columbus</x:v>
      </x:c>
      <x:c r="E324" t="str">
        <x:v>rail</x:v>
      </x:c>
      <x:c r="F324" s="22" t="n">
        <x:v>280.8</x:v>
      </x:c>
      <x:c r="G324" s="22" t="n">
        <x:v>436.8</x:v>
      </x:c>
      <x:c r="H324" t="n">
        <x:v>2</x:v>
      </x:c>
    </x:row>
    <x:row r="325">
      <x:c r="A325" t="str">
        <x:v>TT-US-06</x:v>
      </x:c>
      <x:c r="B325" t="n">
        <x:v>10</x:v>
      </x:c>
      <x:c r="C325" t="str">
        <x:v>Seattle/Tacoma</x:v>
      </x:c>
      <x:c r="D325" t="str">
        <x:v>Columbus</x:v>
      </x:c>
      <x:c r="E325" t="str">
        <x:v>rail</x:v>
      </x:c>
      <x:c r="F325" s="22" t="n">
        <x:v>314.4</x:v>
      </x:c>
      <x:c r="G325" s="22" t="n">
        <x:v>470.4</x:v>
      </x:c>
      <x:c r="H325" t="n">
        <x:v>2</x:v>
      </x:c>
    </x:row>
    <x:row r="326">
      <x:c r="A326" t="str">
        <x:v>TT-US-06</x:v>
      </x:c>
      <x:c r="B326" t="n">
        <x:v>11</x:v>
      </x:c>
      <x:c r="C326" t="str">
        <x:v>Seattle/Tacoma</x:v>
      </x:c>
      <x:c r="D326" t="str">
        <x:v>Columbus</x:v>
      </x:c>
      <x:c r="E326" t="str">
        <x:v>rail</x:v>
      </x:c>
      <x:c r="F326" s="22" t="n">
        <x:v>348</x:v>
      </x:c>
      <x:c r="G326" s="22" t="n">
        <x:v>504</x:v>
      </x:c>
      <x:c r="H326" t="n">
        <x:v>3</x:v>
      </x:c>
    </x:row>
    <x:row r="327">
      <x:c r="A327" t="str">
        <x:v>TT-US-06</x:v>
      </x:c>
      <x:c r="B327" t="n">
        <x:v>12</x:v>
      </x:c>
      <x:c r="C327" t="str">
        <x:v>Seattle/Tacoma</x:v>
      </x:c>
      <x:c r="D327" t="str">
        <x:v>Columbus</x:v>
      </x:c>
      <x:c r="E327" t="str">
        <x:v>rail</x:v>
      </x:c>
      <x:c r="F327" s="22" t="n">
        <x:v>381.6</x:v>
      </x:c>
      <x:c r="G327" s="22" t="n">
        <x:v>537.6</x:v>
      </x:c>
      <x:c r="H327" t="n">
        <x:v>3</x:v>
      </x:c>
    </x:row>
    <x:row r="328">
      <x:c r="A328" t="str">
        <x:v>TT-US-06</x:v>
      </x:c>
      <x:c r="B328" t="n">
        <x:v>13</x:v>
      </x:c>
      <x:c r="C328" t="str">
        <x:v>Seattle/Tacoma</x:v>
      </x:c>
      <x:c r="D328" t="str">
        <x:v>Columbus</x:v>
      </x:c>
      <x:c r="E328" t="str">
        <x:v>rail</x:v>
      </x:c>
      <x:c r="F328" s="22" t="n">
        <x:v>415.2</x:v>
      </x:c>
      <x:c r="G328" s="22" t="n">
        <x:v>571.2</x:v>
      </x:c>
      <x:c r="H328" t="n">
        <x:v>3</x:v>
      </x:c>
    </x:row>
    <x:row r="329">
      <x:c r="A329" t="str">
        <x:v>TT-US-06</x:v>
      </x:c>
      <x:c r="B329" t="n">
        <x:v>14</x:v>
      </x:c>
      <x:c r="C329" t="str">
        <x:v>Seattle/Tacoma</x:v>
      </x:c>
      <x:c r="D329" t="str">
        <x:v>Columbus</x:v>
      </x:c>
      <x:c r="E329" t="str">
        <x:v>rail</x:v>
      </x:c>
      <x:c r="F329" s="22" t="n">
        <x:v>448.8</x:v>
      </x:c>
      <x:c r="G329" s="22" t="n">
        <x:v>604.8</x:v>
      </x:c>
      <x:c r="H329" t="n">
        <x:v>3</x:v>
      </x:c>
    </x:row>
    <x:row r="330">
      <x:c r="A330" t="str">
        <x:v>TT-US-06</x:v>
      </x:c>
      <x:c r="B330" t="n">
        <x:v>15</x:v>
      </x:c>
      <x:c r="C330" t="str">
        <x:v>Seattle/Tacoma</x:v>
      </x:c>
      <x:c r="D330" t="str">
        <x:v>Columbus</x:v>
      </x:c>
      <x:c r="E330" t="str">
        <x:v>rail</x:v>
      </x:c>
      <x:c r="F330" s="22" t="n">
        <x:v>482.4</x:v>
      </x:c>
      <x:c r="G330" s="22" t="n">
        <x:v>638.4</x:v>
      </x:c>
      <x:c r="H330" t="n">
        <x:v>3</x:v>
      </x:c>
    </x:row>
    <x:row r="331">
      <x:c r="A331" t="str">
        <x:v>TT-US-06</x:v>
      </x:c>
      <x:c r="B331" t="n">
        <x:v>16</x:v>
      </x:c>
      <x:c r="C331" t="str">
        <x:v>Seattle/Tacoma</x:v>
      </x:c>
      <x:c r="D331" t="str">
        <x:v>Columbus</x:v>
      </x:c>
      <x:c r="E331" t="str">
        <x:v>rail</x:v>
      </x:c>
      <x:c r="F331" s="22" t="n">
        <x:v>516</x:v>
      </x:c>
      <x:c r="G331" s="22" t="n">
        <x:v>672</x:v>
      </x:c>
      <x:c r="H331" t="n">
        <x:v>4</x:v>
      </x:c>
    </x:row>
    <x:row r="332">
      <x:c r="A332" t="str">
        <x:v>TT-US-06</x:v>
      </x:c>
      <x:c r="B332" t="n">
        <x:v>17</x:v>
      </x:c>
      <x:c r="C332" t="str">
        <x:v>Seattle/Tacoma</x:v>
      </x:c>
      <x:c r="D332" t="str">
        <x:v>Columbus</x:v>
      </x:c>
      <x:c r="E332" t="str">
        <x:v>rail</x:v>
      </x:c>
      <x:c r="F332" s="22" t="n">
        <x:v>549.6</x:v>
      </x:c>
      <x:c r="G332" s="22" t="n">
        <x:v>705.6</x:v>
      </x:c>
      <x:c r="H332" t="n">
        <x:v>4</x:v>
      </x:c>
    </x:row>
    <x:row r="333">
      <x:c r="A333" t="str">
        <x:v>TT-US-06</x:v>
      </x:c>
      <x:c r="B333" t="n">
        <x:v>18</x:v>
      </x:c>
      <x:c r="C333" t="str">
        <x:v>Seattle/Tacoma</x:v>
      </x:c>
      <x:c r="D333" t="str">
        <x:v>Columbus</x:v>
      </x:c>
      <x:c r="E333" t="str">
        <x:v>rail</x:v>
      </x:c>
      <x:c r="F333" s="22" t="n">
        <x:v>583.2</x:v>
      </x:c>
      <x:c r="G333" s="22" t="n">
        <x:v>739.2</x:v>
      </x:c>
      <x:c r="H333" t="n">
        <x:v>4</x:v>
      </x:c>
    </x:row>
    <x:row r="334">
      <x:c r="A334" t="str">
        <x:v>TT-US-06</x:v>
      </x:c>
      <x:c r="B334" t="n">
        <x:v>19</x:v>
      </x:c>
      <x:c r="C334" t="str">
        <x:v>Seattle/Tacoma</x:v>
      </x:c>
      <x:c r="D334" t="str">
        <x:v>Columbus</x:v>
      </x:c>
      <x:c r="E334" t="str">
        <x:v>rail</x:v>
      </x:c>
      <x:c r="F334" s="22" t="n">
        <x:v>616.8</x:v>
      </x:c>
      <x:c r="G334" s="22" t="n">
        <x:v>772.8</x:v>
      </x:c>
      <x:c r="H334" t="n">
        <x:v>4</x:v>
      </x:c>
    </x:row>
    <x:row r="335">
      <x:c r="A335" t="str">
        <x:v>TT-US-06</x:v>
      </x:c>
      <x:c r="B335" t="n">
        <x:v>20</x:v>
      </x:c>
      <x:c r="C335" t="str">
        <x:v>Seattle/Tacoma</x:v>
      </x:c>
      <x:c r="D335" t="str">
        <x:v>Columbus</x:v>
      </x:c>
      <x:c r="E335" t="str">
        <x:v>rail</x:v>
      </x:c>
      <x:c r="F335" s="22" t="n">
        <x:v>650.4</x:v>
      </x:c>
      <x:c r="G335" s="22" t="n">
        <x:v>806.4</x:v>
      </x:c>
      <x:c r="H335" t="n">
        <x:v>4</x:v>
      </x:c>
    </x:row>
    <x:row r="336">
      <x:c r="A336" t="str">
        <x:v>TT-US-06</x:v>
      </x:c>
      <x:c r="B336" t="n">
        <x:v>21</x:v>
      </x:c>
      <x:c r="C336" t="str">
        <x:v>Seattle/Tacoma</x:v>
      </x:c>
      <x:c r="D336" t="str">
        <x:v>Columbus</x:v>
      </x:c>
      <x:c r="E336" t="str">
        <x:v>rail</x:v>
      </x:c>
      <x:c r="F336" s="22" t="n">
        <x:v>684</x:v>
      </x:c>
      <x:c r="G336" s="22" t="n">
        <x:v>840</x:v>
      </x:c>
      <x:c r="H336" t="n">
        <x:v>5</x:v>
      </x:c>
    </x:row>
    <x:row r="337">
      <x:c r="A337" t="str">
        <x:v>TT-US-06</x:v>
      </x:c>
      <x:c r="B337" t="n">
        <x:v>22</x:v>
      </x:c>
      <x:c r="C337" t="str">
        <x:v>Seattle/Tacoma</x:v>
      </x:c>
      <x:c r="D337" t="str">
        <x:v>Columbus</x:v>
      </x:c>
      <x:c r="E337" t="str">
        <x:v>rail</x:v>
      </x:c>
      <x:c r="F337" s="22" t="n">
        <x:v>717.6</x:v>
      </x:c>
      <x:c r="G337" s="22" t="n">
        <x:v>873.6</x:v>
      </x:c>
      <x:c r="H337" t="n">
        <x:v>5</x:v>
      </x:c>
    </x:row>
    <x:row r="338">
      <x:c r="A338" t="str">
        <x:v>TT-US-06</x:v>
      </x:c>
      <x:c r="B338" t="n">
        <x:v>23</x:v>
      </x:c>
      <x:c r="C338" t="str">
        <x:v>Seattle/Tacoma</x:v>
      </x:c>
      <x:c r="D338" t="str">
        <x:v>Columbus</x:v>
      </x:c>
      <x:c r="E338" t="str">
        <x:v>rail</x:v>
      </x:c>
      <x:c r="F338" s="22" t="n">
        <x:v>751.2</x:v>
      </x:c>
      <x:c r="G338" s="22" t="n">
        <x:v>907.2</x:v>
      </x:c>
      <x:c r="H338" t="n">
        <x:v>5</x:v>
      </x:c>
    </x:row>
    <x:row r="339">
      <x:c r="A339" t="str">
        <x:v>TT-US-06</x:v>
      </x:c>
      <x:c r="B339" t="n">
        <x:v>24</x:v>
      </x:c>
      <x:c r="C339" t="str">
        <x:v>Seattle/Tacoma</x:v>
      </x:c>
      <x:c r="D339" t="str">
        <x:v>Columbus</x:v>
      </x:c>
      <x:c r="E339" t="str">
        <x:v>rail</x:v>
      </x:c>
      <x:c r="F339" s="22" t="n">
        <x:v>784.8</x:v>
      </x:c>
      <x:c r="G339" s="22" t="n">
        <x:v>940.8</x:v>
      </x:c>
      <x:c r="H339" t="n">
        <x:v>5</x:v>
      </x:c>
    </x:row>
    <x:row r="340">
      <x:c r="A340" t="str">
        <x:v>TT-US-06</x:v>
      </x:c>
      <x:c r="B340" t="n">
        <x:v>25</x:v>
      </x:c>
      <x:c r="C340" t="str">
        <x:v>Seattle/Tacoma</x:v>
      </x:c>
      <x:c r="D340" t="str">
        <x:v>Columbus</x:v>
      </x:c>
      <x:c r="E340" t="str">
        <x:v>rail</x:v>
      </x:c>
      <x:c r="F340" s="22" t="n">
        <x:v>818.4</x:v>
      </x:c>
      <x:c r="G340" s="22" t="n">
        <x:v>974.4</x:v>
      </x:c>
      <x:c r="H340" t="n">
        <x:v>5</x:v>
      </x:c>
    </x:row>
    <x:row r="341">
      <x:c r="A341" t="str">
        <x:v>TT-US-06</x:v>
      </x:c>
      <x:c r="B341" t="n">
        <x:v>26</x:v>
      </x:c>
      <x:c r="C341" t="str">
        <x:v>Seattle/Tacoma</x:v>
      </x:c>
      <x:c r="D341" t="str">
        <x:v>Columbus</x:v>
      </x:c>
      <x:c r="E341" t="str">
        <x:v>rail</x:v>
      </x:c>
      <x:c r="F341" s="22" t="n">
        <x:v>852</x:v>
      </x:c>
      <x:c r="G341" s="22" t="n">
        <x:v>1008</x:v>
      </x:c>
      <x:c r="H341" t="n">
        <x:v>6</x:v>
      </x:c>
    </x:row>
    <x:row r="342">
      <x:c r="A342" t="str">
        <x:v>TT-US-06</x:v>
      </x:c>
      <x:c r="B342" t="n">
        <x:v>27</x:v>
      </x:c>
      <x:c r="C342" t="str">
        <x:v>Seattle/Tacoma</x:v>
      </x:c>
      <x:c r="D342" t="str">
        <x:v>Columbus</x:v>
      </x:c>
      <x:c r="E342" t="str">
        <x:v>rail</x:v>
      </x:c>
      <x:c r="F342" s="22" t="n">
        <x:v>885.6</x:v>
      </x:c>
      <x:c r="G342" s="22" t="n">
        <x:v>1041.6</x:v>
      </x:c>
      <x:c r="H342" t="n">
        <x:v>6</x:v>
      </x:c>
    </x:row>
    <x:row r="343">
      <x:c r="A343" t="str">
        <x:v>TT-US-06</x:v>
      </x:c>
      <x:c r="B343" t="n">
        <x:v>28</x:v>
      </x:c>
      <x:c r="C343" t="str">
        <x:v>Seattle/Tacoma</x:v>
      </x:c>
      <x:c r="D343" t="str">
        <x:v>Columbus</x:v>
      </x:c>
      <x:c r="E343" t="str">
        <x:v>rail</x:v>
      </x:c>
      <x:c r="F343" s="22" t="n">
        <x:v>919.2</x:v>
      </x:c>
      <x:c r="G343" s="22" t="n">
        <x:v>1075.2</x:v>
      </x:c>
      <x:c r="H343" t="n">
        <x:v>6</x:v>
      </x:c>
    </x:row>
    <x:row r="344">
      <x:c r="A344" t="str">
        <x:v>TT-US-06</x:v>
      </x:c>
      <x:c r="B344" t="n">
        <x:v>29</x:v>
      </x:c>
      <x:c r="C344" t="str">
        <x:v>Seattle/Tacoma</x:v>
      </x:c>
      <x:c r="D344" t="str">
        <x:v>Columbus</x:v>
      </x:c>
      <x:c r="E344" t="str">
        <x:v>rail</x:v>
      </x:c>
      <x:c r="F344" s="22" t="n">
        <x:v>952.8</x:v>
      </x:c>
      <x:c r="G344" s="22" t="n">
        <x:v>1108.8</x:v>
      </x:c>
      <x:c r="H344" t="n">
        <x:v>6</x:v>
      </x:c>
    </x:row>
    <x:row r="345">
      <x:c r="A345" t="str">
        <x:v>TT-US-06</x:v>
      </x:c>
      <x:c r="B345" t="n">
        <x:v>30</x:v>
      </x:c>
      <x:c r="C345" t="str">
        <x:v>Seattle/Tacoma</x:v>
      </x:c>
      <x:c r="D345" t="str">
        <x:v>Columbus</x:v>
      </x:c>
      <x:c r="E345" t="str">
        <x:v>rail</x:v>
      </x:c>
      <x:c r="F345" s="22" t="n">
        <x:v>986.4</x:v>
      </x:c>
      <x:c r="G345" s="22" t="n">
        <x:v>1142.4</x:v>
      </x:c>
      <x:c r="H345" t="n">
        <x:v>6</x:v>
      </x:c>
    </x:row>
    <x:row r="346">
      <x:c r="A346" t="str">
        <x:v>TT-US-06</x:v>
      </x:c>
      <x:c r="B346" t="n">
        <x:v>31</x:v>
      </x:c>
      <x:c r="C346" t="str">
        <x:v>Seattle/Tacoma</x:v>
      </x:c>
      <x:c r="D346" t="str">
        <x:v>Columbus</x:v>
      </x:c>
      <x:c r="E346" t="str">
        <x:v>rail</x:v>
      </x:c>
      <x:c r="F346" s="22" t="n">
        <x:v>1020</x:v>
      </x:c>
      <x:c r="G346" s="22" t="n">
        <x:v>1176</x:v>
      </x:c>
      <x:c r="H346" t="n">
        <x:v>7</x:v>
      </x:c>
    </x:row>
    <x:row r="347">
      <x:c r="A347" t="str">
        <x:v>TT-US-06</x:v>
      </x:c>
      <x:c r="B347" t="n">
        <x:v>32</x:v>
      </x:c>
      <x:c r="C347" t="str">
        <x:v>Seattle/Tacoma</x:v>
      </x:c>
      <x:c r="D347" t="str">
        <x:v>Columbus</x:v>
      </x:c>
      <x:c r="E347" t="str">
        <x:v>rail</x:v>
      </x:c>
      <x:c r="F347" s="22" t="n">
        <x:v>1053.6</x:v>
      </x:c>
      <x:c r="G347" s="22" t="n">
        <x:v>1209.6</x:v>
      </x:c>
      <x:c r="H347" t="n">
        <x:v>7</x:v>
      </x:c>
    </x:row>
    <x:row r="348">
      <x:c r="A348" t="str">
        <x:v>TT-US-06</x:v>
      </x:c>
      <x:c r="B348" t="n">
        <x:v>33</x:v>
      </x:c>
      <x:c r="C348" t="str">
        <x:v>Seattle/Tacoma</x:v>
      </x:c>
      <x:c r="D348" t="str">
        <x:v>Columbus</x:v>
      </x:c>
      <x:c r="E348" t="str">
        <x:v>rail</x:v>
      </x:c>
      <x:c r="F348" s="22" t="n">
        <x:v>1087.2</x:v>
      </x:c>
      <x:c r="G348" s="22" t="n">
        <x:v>1243.2</x:v>
      </x:c>
      <x:c r="H348" t="n">
        <x:v>7</x:v>
      </x:c>
    </x:row>
    <x:row r="349">
      <x:c r="A349" t="str">
        <x:v>TT-US-06</x:v>
      </x:c>
      <x:c r="B349" t="n">
        <x:v>34</x:v>
      </x:c>
      <x:c r="C349" t="str">
        <x:v>Seattle/Tacoma</x:v>
      </x:c>
      <x:c r="D349" t="str">
        <x:v>Columbus</x:v>
      </x:c>
      <x:c r="E349" t="str">
        <x:v>rail</x:v>
      </x:c>
      <x:c r="F349" s="22" t="n">
        <x:v>1120.8</x:v>
      </x:c>
      <x:c r="G349" s="22" t="n">
        <x:v>1276.8</x:v>
      </x:c>
      <x:c r="H349" t="n">
        <x:v>7</x:v>
      </x:c>
    </x:row>
    <x:row r="350">
      <x:c r="A350" t="str">
        <x:v>TT-US-06</x:v>
      </x:c>
      <x:c r="B350" t="n">
        <x:v>35</x:v>
      </x:c>
      <x:c r="C350" t="str">
        <x:v>Seattle/Tacoma</x:v>
      </x:c>
      <x:c r="D350" t="str">
        <x:v>Columbus</x:v>
      </x:c>
      <x:c r="E350" t="str">
        <x:v>rail</x:v>
      </x:c>
      <x:c r="F350" s="22" t="n">
        <x:v>1154.4</x:v>
      </x:c>
      <x:c r="G350" s="22" t="n">
        <x:v>1310.4</x:v>
      </x:c>
      <x:c r="H350" t="n">
        <x:v>7</x:v>
      </x:c>
    </x:row>
    <x:row r="351">
      <x:c r="A351" t="str">
        <x:v>TT-US-06</x:v>
      </x:c>
      <x:c r="B351" t="n">
        <x:v>36</x:v>
      </x:c>
      <x:c r="C351" t="str">
        <x:v>Seattle/Tacoma</x:v>
      </x:c>
      <x:c r="D351" t="str">
        <x:v>Columbus</x:v>
      </x:c>
      <x:c r="E351" t="str">
        <x:v>rail</x:v>
      </x:c>
      <x:c r="F351" s="22" t="n">
        <x:v>1188</x:v>
      </x:c>
      <x:c r="G351" s="22" t="n">
        <x:v>1344</x:v>
      </x:c>
      <x:c r="H351" t="n">
        <x:v>8</x:v>
      </x:c>
    </x:row>
    <x:row r="352">
      <x:c r="A352" t="str">
        <x:v>TT-US-06</x:v>
      </x:c>
      <x:c r="B352" t="n">
        <x:v>37</x:v>
      </x:c>
      <x:c r="C352" t="str">
        <x:v>Seattle/Tacoma</x:v>
      </x:c>
      <x:c r="D352" t="str">
        <x:v>Columbus</x:v>
      </x:c>
      <x:c r="E352" t="str">
        <x:v>rail</x:v>
      </x:c>
      <x:c r="F352" s="22" t="n">
        <x:v>1221.6</x:v>
      </x:c>
      <x:c r="G352" s="22" t="n">
        <x:v>1377.6</x:v>
      </x:c>
      <x:c r="H352" t="n">
        <x:v>8</x:v>
      </x:c>
    </x:row>
    <x:row r="353">
      <x:c r="A353" t="str">
        <x:v>TT-US-06</x:v>
      </x:c>
      <x:c r="B353" t="n">
        <x:v>38</x:v>
      </x:c>
      <x:c r="C353" t="str">
        <x:v>Seattle/Tacoma</x:v>
      </x:c>
      <x:c r="D353" t="str">
        <x:v>Columbus</x:v>
      </x:c>
      <x:c r="E353" t="str">
        <x:v>rail</x:v>
      </x:c>
      <x:c r="F353" s="22" t="n">
        <x:v>1255.2</x:v>
      </x:c>
      <x:c r="G353" s="22" t="n">
        <x:v>1411.2</x:v>
      </x:c>
      <x:c r="H353" t="n">
        <x:v>8</x:v>
      </x:c>
    </x:row>
    <x:row r="354">
      <x:c r="A354" t="str">
        <x:v>TT-US-06</x:v>
      </x:c>
      <x:c r="B354" t="n">
        <x:v>39</x:v>
      </x:c>
      <x:c r="C354" t="str">
        <x:v>Seattle/Tacoma</x:v>
      </x:c>
      <x:c r="D354" t="str">
        <x:v>Columbus</x:v>
      </x:c>
      <x:c r="E354" t="str">
        <x:v>rail</x:v>
      </x:c>
      <x:c r="F354" s="22" t="n">
        <x:v>1288.8</x:v>
      </x:c>
      <x:c r="G354" s="22" t="n">
        <x:v>1444.8</x:v>
      </x:c>
      <x:c r="H354" t="n">
        <x:v>8</x:v>
      </x:c>
    </x:row>
    <x:row r="355">
      <x:c r="A355" t="str">
        <x:v>TT-US-06</x:v>
      </x:c>
      <x:c r="B355" t="n">
        <x:v>40</x:v>
      </x:c>
      <x:c r="C355" t="str">
        <x:v>Seattle/Tacoma</x:v>
      </x:c>
      <x:c r="D355" t="str">
        <x:v>Columbus</x:v>
      </x:c>
      <x:c r="E355" t="str">
        <x:v>rail</x:v>
      </x:c>
      <x:c r="F355" s="22" t="n">
        <x:v>1322.4</x:v>
      </x:c>
      <x:c r="G355" s="22" t="n">
        <x:v>1478.4</x:v>
      </x:c>
      <x:c r="H355" t="n">
        <x:v>8</x:v>
      </x:c>
    </x:row>
    <x:row r="356">
      <x:c r="A356" t="str">
        <x:v>TT-US-07</x:v>
      </x:c>
      <x:c r="B356" t="n">
        <x:v>1</x:v>
      </x:c>
      <x:c r="C356" t="str">
        <x:v>New York/New Jersey</x:v>
      </x:c>
      <x:c r="D356" t="str">
        <x:v>Chicago</x:v>
      </x:c>
      <x:c r="E356" t="str">
        <x:v>rail</x:v>
      </x:c>
      <x:c r="F356" s="22" t="n">
        <x:v>10</x:v>
      </x:c>
      <x:c r="G356" s="22" t="n">
        <x:v>94</x:v>
      </x:c>
      <x:c r="H356" t="n">
        <x:v>1</x:v>
      </x:c>
    </x:row>
    <x:row r="357">
      <x:c r="A357" t="str">
        <x:v>TT-US-07</x:v>
      </x:c>
      <x:c r="B357" t="n">
        <x:v>2</x:v>
      </x:c>
      <x:c r="C357" t="str">
        <x:v>New York/New Jersey</x:v>
      </x:c>
      <x:c r="D357" t="str">
        <x:v>Chicago</x:v>
      </x:c>
      <x:c r="E357" t="str">
        <x:v>rail</x:v>
      </x:c>
      <x:c r="F357" s="22" t="n">
        <x:v>38</x:v>
      </x:c>
      <x:c r="G357" s="22" t="n">
        <x:v>122</x:v>
      </x:c>
      <x:c r="H357" t="n">
        <x:v>1</x:v>
      </x:c>
    </x:row>
    <x:row r="358">
      <x:c r="A358" t="str">
        <x:v>TT-US-07</x:v>
      </x:c>
      <x:c r="B358" t="n">
        <x:v>3</x:v>
      </x:c>
      <x:c r="C358" t="str">
        <x:v>New York/New Jersey</x:v>
      </x:c>
      <x:c r="D358" t="str">
        <x:v>Chicago</x:v>
      </x:c>
      <x:c r="E358" t="str">
        <x:v>rail</x:v>
      </x:c>
      <x:c r="F358" s="22" t="n">
        <x:v>66</x:v>
      </x:c>
      <x:c r="G358" s="22" t="n">
        <x:v>150</x:v>
      </x:c>
      <x:c r="H358" t="n">
        <x:v>1</x:v>
      </x:c>
    </x:row>
    <x:row r="359">
      <x:c r="A359" t="str">
        <x:v>TT-US-07</x:v>
      </x:c>
      <x:c r="B359" t="n">
        <x:v>4</x:v>
      </x:c>
      <x:c r="C359" t="str">
        <x:v>New York/New Jersey</x:v>
      </x:c>
      <x:c r="D359" t="str">
        <x:v>Chicago</x:v>
      </x:c>
      <x:c r="E359" t="str">
        <x:v>rail</x:v>
      </x:c>
      <x:c r="F359" s="22" t="n">
        <x:v>94</x:v>
      </x:c>
      <x:c r="G359" s="22" t="n">
        <x:v>178</x:v>
      </x:c>
      <x:c r="H359" t="n">
        <x:v>1</x:v>
      </x:c>
    </x:row>
    <x:row r="360">
      <x:c r="A360" t="str">
        <x:v>TT-US-07</x:v>
      </x:c>
      <x:c r="B360" t="n">
        <x:v>5</x:v>
      </x:c>
      <x:c r="C360" t="str">
        <x:v>New York/New Jersey</x:v>
      </x:c>
      <x:c r="D360" t="str">
        <x:v>Chicago</x:v>
      </x:c>
      <x:c r="E360" t="str">
        <x:v>rail</x:v>
      </x:c>
      <x:c r="F360" s="22" t="n">
        <x:v>122</x:v>
      </x:c>
      <x:c r="G360" s="22" t="n">
        <x:v>206</x:v>
      </x:c>
      <x:c r="H360" t="n">
        <x:v>1</x:v>
      </x:c>
    </x:row>
    <x:row r="361">
      <x:c r="A361" t="str">
        <x:v>TT-US-07</x:v>
      </x:c>
      <x:c r="B361" t="n">
        <x:v>6</x:v>
      </x:c>
      <x:c r="C361" t="str">
        <x:v>New York/New Jersey</x:v>
      </x:c>
      <x:c r="D361" t="str">
        <x:v>Chicago</x:v>
      </x:c>
      <x:c r="E361" t="str">
        <x:v>rail</x:v>
      </x:c>
      <x:c r="F361" s="22" t="n">
        <x:v>150</x:v>
      </x:c>
      <x:c r="G361" s="22" t="n">
        <x:v>234</x:v>
      </x:c>
      <x:c r="H361" t="n">
        <x:v>1</x:v>
      </x:c>
    </x:row>
    <x:row r="362">
      <x:c r="A362" t="str">
        <x:v>TT-US-07</x:v>
      </x:c>
      <x:c r="B362" t="n">
        <x:v>7</x:v>
      </x:c>
      <x:c r="C362" t="str">
        <x:v>New York/New Jersey</x:v>
      </x:c>
      <x:c r="D362" t="str">
        <x:v>Chicago</x:v>
      </x:c>
      <x:c r="E362" t="str">
        <x:v>rail</x:v>
      </x:c>
      <x:c r="F362" s="22" t="n">
        <x:v>178</x:v>
      </x:c>
      <x:c r="G362" s="22" t="n">
        <x:v>262</x:v>
      </x:c>
      <x:c r="H362" t="n">
        <x:v>2</x:v>
      </x:c>
    </x:row>
    <x:row r="363">
      <x:c r="A363" t="str">
        <x:v>TT-US-07</x:v>
      </x:c>
      <x:c r="B363" t="n">
        <x:v>8</x:v>
      </x:c>
      <x:c r="C363" t="str">
        <x:v>New York/New Jersey</x:v>
      </x:c>
      <x:c r="D363" t="str">
        <x:v>Chicago</x:v>
      </x:c>
      <x:c r="E363" t="str">
        <x:v>rail</x:v>
      </x:c>
      <x:c r="F363" s="22" t="n">
        <x:v>206</x:v>
      </x:c>
      <x:c r="G363" s="22" t="n">
        <x:v>290</x:v>
      </x:c>
      <x:c r="H363" t="n">
        <x:v>2</x:v>
      </x:c>
    </x:row>
    <x:row r="364">
      <x:c r="A364" t="str">
        <x:v>TT-US-07</x:v>
      </x:c>
      <x:c r="B364" t="n">
        <x:v>9</x:v>
      </x:c>
      <x:c r="C364" t="str">
        <x:v>New York/New Jersey</x:v>
      </x:c>
      <x:c r="D364" t="str">
        <x:v>Chicago</x:v>
      </x:c>
      <x:c r="E364" t="str">
        <x:v>rail</x:v>
      </x:c>
      <x:c r="F364" s="22" t="n">
        <x:v>234</x:v>
      </x:c>
      <x:c r="G364" s="22" t="n">
        <x:v>318</x:v>
      </x:c>
      <x:c r="H364" t="n">
        <x:v>2</x:v>
      </x:c>
    </x:row>
    <x:row r="365">
      <x:c r="A365" t="str">
        <x:v>TT-US-07</x:v>
      </x:c>
      <x:c r="B365" t="n">
        <x:v>10</x:v>
      </x:c>
      <x:c r="C365" t="str">
        <x:v>New York/New Jersey</x:v>
      </x:c>
      <x:c r="D365" t="str">
        <x:v>Chicago</x:v>
      </x:c>
      <x:c r="E365" t="str">
        <x:v>rail</x:v>
      </x:c>
      <x:c r="F365" s="22" t="n">
        <x:v>262</x:v>
      </x:c>
      <x:c r="G365" s="22" t="n">
        <x:v>346</x:v>
      </x:c>
      <x:c r="H365" t="n">
        <x:v>2</x:v>
      </x:c>
    </x:row>
    <x:row r="366">
      <x:c r="A366" t="str">
        <x:v>TT-US-07</x:v>
      </x:c>
      <x:c r="B366" t="n">
        <x:v>11</x:v>
      </x:c>
      <x:c r="C366" t="str">
        <x:v>New York/New Jersey</x:v>
      </x:c>
      <x:c r="D366" t="str">
        <x:v>Chicago</x:v>
      </x:c>
      <x:c r="E366" t="str">
        <x:v>rail</x:v>
      </x:c>
      <x:c r="F366" s="22" t="n">
        <x:v>290</x:v>
      </x:c>
      <x:c r="G366" s="22" t="n">
        <x:v>374</x:v>
      </x:c>
      <x:c r="H366" t="n">
        <x:v>2</x:v>
      </x:c>
    </x:row>
    <x:row r="367">
      <x:c r="A367" t="str">
        <x:v>TT-US-07</x:v>
      </x:c>
      <x:c r="B367" t="n">
        <x:v>12</x:v>
      </x:c>
      <x:c r="C367" t="str">
        <x:v>New York/New Jersey</x:v>
      </x:c>
      <x:c r="D367" t="str">
        <x:v>Chicago</x:v>
      </x:c>
      <x:c r="E367" t="str">
        <x:v>rail</x:v>
      </x:c>
      <x:c r="F367" s="22" t="n">
        <x:v>318</x:v>
      </x:c>
      <x:c r="G367" s="22" t="n">
        <x:v>402</x:v>
      </x:c>
      <x:c r="H367" t="n">
        <x:v>2</x:v>
      </x:c>
    </x:row>
    <x:row r="368">
      <x:c r="A368" t="str">
        <x:v>TT-US-07</x:v>
      </x:c>
      <x:c r="B368" t="n">
        <x:v>13</x:v>
      </x:c>
      <x:c r="C368" t="str">
        <x:v>New York/New Jersey</x:v>
      </x:c>
      <x:c r="D368" t="str">
        <x:v>Chicago</x:v>
      </x:c>
      <x:c r="E368" t="str">
        <x:v>rail</x:v>
      </x:c>
      <x:c r="F368" s="22" t="n">
        <x:v>346</x:v>
      </x:c>
      <x:c r="G368" s="22" t="n">
        <x:v>430</x:v>
      </x:c>
      <x:c r="H368" t="n">
        <x:v>3</x:v>
      </x:c>
    </x:row>
    <x:row r="369">
      <x:c r="A369" t="str">
        <x:v>TT-US-07</x:v>
      </x:c>
      <x:c r="B369" t="n">
        <x:v>14</x:v>
      </x:c>
      <x:c r="C369" t="str">
        <x:v>New York/New Jersey</x:v>
      </x:c>
      <x:c r="D369" t="str">
        <x:v>Chicago</x:v>
      </x:c>
      <x:c r="E369" t="str">
        <x:v>rail</x:v>
      </x:c>
      <x:c r="F369" s="22" t="n">
        <x:v>374</x:v>
      </x:c>
      <x:c r="G369" s="22" t="n">
        <x:v>458</x:v>
      </x:c>
      <x:c r="H369" t="n">
        <x:v>3</x:v>
      </x:c>
    </x:row>
    <x:row r="370">
      <x:c r="A370" t="str">
        <x:v>TT-US-07</x:v>
      </x:c>
      <x:c r="B370" t="n">
        <x:v>15</x:v>
      </x:c>
      <x:c r="C370" t="str">
        <x:v>New York/New Jersey</x:v>
      </x:c>
      <x:c r="D370" t="str">
        <x:v>Chicago</x:v>
      </x:c>
      <x:c r="E370" t="str">
        <x:v>rail</x:v>
      </x:c>
      <x:c r="F370" s="22" t="n">
        <x:v>402</x:v>
      </x:c>
      <x:c r="G370" s="22" t="n">
        <x:v>486</x:v>
      </x:c>
      <x:c r="H370" t="n">
        <x:v>3</x:v>
      </x:c>
    </x:row>
    <x:row r="371">
      <x:c r="A371" t="str">
        <x:v>TT-US-07</x:v>
      </x:c>
      <x:c r="B371" t="n">
        <x:v>16</x:v>
      </x:c>
      <x:c r="C371" t="str">
        <x:v>New York/New Jersey</x:v>
      </x:c>
      <x:c r="D371" t="str">
        <x:v>Chicago</x:v>
      </x:c>
      <x:c r="E371" t="str">
        <x:v>rail</x:v>
      </x:c>
      <x:c r="F371" s="22" t="n">
        <x:v>430</x:v>
      </x:c>
      <x:c r="G371" s="22" t="n">
        <x:v>514</x:v>
      </x:c>
      <x:c r="H371" t="n">
        <x:v>3</x:v>
      </x:c>
    </x:row>
    <x:row r="372">
      <x:c r="A372" t="str">
        <x:v>TT-US-07</x:v>
      </x:c>
      <x:c r="B372" t="n">
        <x:v>17</x:v>
      </x:c>
      <x:c r="C372" t="str">
        <x:v>New York/New Jersey</x:v>
      </x:c>
      <x:c r="D372" t="str">
        <x:v>Chicago</x:v>
      </x:c>
      <x:c r="E372" t="str">
        <x:v>rail</x:v>
      </x:c>
      <x:c r="F372" s="22" t="n">
        <x:v>458</x:v>
      </x:c>
      <x:c r="G372" s="22" t="n">
        <x:v>542</x:v>
      </x:c>
      <x:c r="H372" t="n">
        <x:v>3</x:v>
      </x:c>
    </x:row>
    <x:row r="373">
      <x:c r="A373" t="str">
        <x:v>TT-US-07</x:v>
      </x:c>
      <x:c r="B373" t="n">
        <x:v>18</x:v>
      </x:c>
      <x:c r="C373" t="str">
        <x:v>New York/New Jersey</x:v>
      </x:c>
      <x:c r="D373" t="str">
        <x:v>Chicago</x:v>
      </x:c>
      <x:c r="E373" t="str">
        <x:v>rail</x:v>
      </x:c>
      <x:c r="F373" s="22" t="n">
        <x:v>486</x:v>
      </x:c>
      <x:c r="G373" s="22" t="n">
        <x:v>570</x:v>
      </x:c>
      <x:c r="H373" t="n">
        <x:v>3</x:v>
      </x:c>
    </x:row>
    <x:row r="374">
      <x:c r="A374" t="str">
        <x:v>TT-US-07</x:v>
      </x:c>
      <x:c r="B374" t="n">
        <x:v>19</x:v>
      </x:c>
      <x:c r="C374" t="str">
        <x:v>New York/New Jersey</x:v>
      </x:c>
      <x:c r="D374" t="str">
        <x:v>Chicago</x:v>
      </x:c>
      <x:c r="E374" t="str">
        <x:v>rail</x:v>
      </x:c>
      <x:c r="F374" s="22" t="n">
        <x:v>514</x:v>
      </x:c>
      <x:c r="G374" s="22" t="n">
        <x:v>598</x:v>
      </x:c>
      <x:c r="H374" t="n">
        <x:v>4</x:v>
      </x:c>
    </x:row>
    <x:row r="375">
      <x:c r="A375" t="str">
        <x:v>TT-US-07</x:v>
      </x:c>
      <x:c r="B375" t="n">
        <x:v>20</x:v>
      </x:c>
      <x:c r="C375" t="str">
        <x:v>New York/New Jersey</x:v>
      </x:c>
      <x:c r="D375" t="str">
        <x:v>Chicago</x:v>
      </x:c>
      <x:c r="E375" t="str">
        <x:v>rail</x:v>
      </x:c>
      <x:c r="F375" s="22" t="n">
        <x:v>542</x:v>
      </x:c>
      <x:c r="G375" s="22" t="n">
        <x:v>626</x:v>
      </x:c>
      <x:c r="H375" t="n">
        <x:v>4</x:v>
      </x:c>
    </x:row>
    <x:row r="376">
      <x:c r="A376" t="str">
        <x:v>TT-US-07</x:v>
      </x:c>
      <x:c r="B376" t="n">
        <x:v>21</x:v>
      </x:c>
      <x:c r="C376" t="str">
        <x:v>New York/New Jersey</x:v>
      </x:c>
      <x:c r="D376" t="str">
        <x:v>Chicago</x:v>
      </x:c>
      <x:c r="E376" t="str">
        <x:v>rail</x:v>
      </x:c>
      <x:c r="F376" s="22" t="n">
        <x:v>570</x:v>
      </x:c>
      <x:c r="G376" s="22" t="n">
        <x:v>654</x:v>
      </x:c>
      <x:c r="H376" t="n">
        <x:v>4</x:v>
      </x:c>
    </x:row>
    <x:row r="377">
      <x:c r="A377" t="str">
        <x:v>TT-US-07</x:v>
      </x:c>
      <x:c r="B377" t="n">
        <x:v>22</x:v>
      </x:c>
      <x:c r="C377" t="str">
        <x:v>New York/New Jersey</x:v>
      </x:c>
      <x:c r="D377" t="str">
        <x:v>Chicago</x:v>
      </x:c>
      <x:c r="E377" t="str">
        <x:v>rail</x:v>
      </x:c>
      <x:c r="F377" s="22" t="n">
        <x:v>598</x:v>
      </x:c>
      <x:c r="G377" s="22" t="n">
        <x:v>682</x:v>
      </x:c>
      <x:c r="H377" t="n">
        <x:v>4</x:v>
      </x:c>
    </x:row>
    <x:row r="378">
      <x:c r="A378" t="str">
        <x:v>TT-US-07</x:v>
      </x:c>
      <x:c r="B378" t="n">
        <x:v>23</x:v>
      </x:c>
      <x:c r="C378" t="str">
        <x:v>New York/New Jersey</x:v>
      </x:c>
      <x:c r="D378" t="str">
        <x:v>Chicago</x:v>
      </x:c>
      <x:c r="E378" t="str">
        <x:v>rail</x:v>
      </x:c>
      <x:c r="F378" s="22" t="n">
        <x:v>626</x:v>
      </x:c>
      <x:c r="G378" s="22" t="n">
        <x:v>710</x:v>
      </x:c>
      <x:c r="H378" t="n">
        <x:v>4</x:v>
      </x:c>
    </x:row>
    <x:row r="379">
      <x:c r="A379" t="str">
        <x:v>TT-US-07</x:v>
      </x:c>
      <x:c r="B379" t="n">
        <x:v>24</x:v>
      </x:c>
      <x:c r="C379" t="str">
        <x:v>New York/New Jersey</x:v>
      </x:c>
      <x:c r="D379" t="str">
        <x:v>Chicago</x:v>
      </x:c>
      <x:c r="E379" t="str">
        <x:v>rail</x:v>
      </x:c>
      <x:c r="F379" s="22" t="n">
        <x:v>654</x:v>
      </x:c>
      <x:c r="G379" s="22" t="n">
        <x:v>738</x:v>
      </x:c>
      <x:c r="H379" t="n">
        <x:v>4</x:v>
      </x:c>
    </x:row>
    <x:row r="380">
      <x:c r="A380" t="str">
        <x:v>TT-US-07</x:v>
      </x:c>
      <x:c r="B380" t="n">
        <x:v>25</x:v>
      </x:c>
      <x:c r="C380" t="str">
        <x:v>New York/New Jersey</x:v>
      </x:c>
      <x:c r="D380" t="str">
        <x:v>Chicago</x:v>
      </x:c>
      <x:c r="E380" t="str">
        <x:v>rail</x:v>
      </x:c>
      <x:c r="F380" s="22" t="n">
        <x:v>682</x:v>
      </x:c>
      <x:c r="G380" s="22" t="n">
        <x:v>766</x:v>
      </x:c>
      <x:c r="H380" t="n">
        <x:v>5</x:v>
      </x:c>
    </x:row>
    <x:row r="381">
      <x:c r="A381" t="str">
        <x:v>TT-US-07</x:v>
      </x:c>
      <x:c r="B381" t="n">
        <x:v>26</x:v>
      </x:c>
      <x:c r="C381" t="str">
        <x:v>New York/New Jersey</x:v>
      </x:c>
      <x:c r="D381" t="str">
        <x:v>Chicago</x:v>
      </x:c>
      <x:c r="E381" t="str">
        <x:v>rail</x:v>
      </x:c>
      <x:c r="F381" s="22" t="n">
        <x:v>710</x:v>
      </x:c>
      <x:c r="G381" s="22" t="n">
        <x:v>794</x:v>
      </x:c>
      <x:c r="H381" t="n">
        <x:v>5</x:v>
      </x:c>
    </x:row>
    <x:row r="382">
      <x:c r="A382" t="str">
        <x:v>TT-US-07</x:v>
      </x:c>
      <x:c r="B382" t="n">
        <x:v>27</x:v>
      </x:c>
      <x:c r="C382" t="str">
        <x:v>New York/New Jersey</x:v>
      </x:c>
      <x:c r="D382" t="str">
        <x:v>Chicago</x:v>
      </x:c>
      <x:c r="E382" t="str">
        <x:v>rail</x:v>
      </x:c>
      <x:c r="F382" s="22" t="n">
        <x:v>738</x:v>
      </x:c>
      <x:c r="G382" s="22" t="n">
        <x:v>822</x:v>
      </x:c>
      <x:c r="H382" t="n">
        <x:v>5</x:v>
      </x:c>
    </x:row>
    <x:row r="383">
      <x:c r="A383" t="str">
        <x:v>TT-US-07</x:v>
      </x:c>
      <x:c r="B383" t="n">
        <x:v>28</x:v>
      </x:c>
      <x:c r="C383" t="str">
        <x:v>New York/New Jersey</x:v>
      </x:c>
      <x:c r="D383" t="str">
        <x:v>Chicago</x:v>
      </x:c>
      <x:c r="E383" t="str">
        <x:v>rail</x:v>
      </x:c>
      <x:c r="F383" s="22" t="n">
        <x:v>766</x:v>
      </x:c>
      <x:c r="G383" s="22" t="n">
        <x:v>850</x:v>
      </x:c>
      <x:c r="H383" t="n">
        <x:v>5</x:v>
      </x:c>
    </x:row>
    <x:row r="384">
      <x:c r="A384" t="str">
        <x:v>TT-US-07</x:v>
      </x:c>
      <x:c r="B384" t="n">
        <x:v>29</x:v>
      </x:c>
      <x:c r="C384" t="str">
        <x:v>New York/New Jersey</x:v>
      </x:c>
      <x:c r="D384" t="str">
        <x:v>Chicago</x:v>
      </x:c>
      <x:c r="E384" t="str">
        <x:v>rail</x:v>
      </x:c>
      <x:c r="F384" s="22" t="n">
        <x:v>794</x:v>
      </x:c>
      <x:c r="G384" s="22" t="n">
        <x:v>878</x:v>
      </x:c>
      <x:c r="H384" t="n">
        <x:v>5</x:v>
      </x:c>
    </x:row>
    <x:row r="385">
      <x:c r="A385" t="str">
        <x:v>TT-US-07</x:v>
      </x:c>
      <x:c r="B385" t="n">
        <x:v>30</x:v>
      </x:c>
      <x:c r="C385" t="str">
        <x:v>New York/New Jersey</x:v>
      </x:c>
      <x:c r="D385" t="str">
        <x:v>Chicago</x:v>
      </x:c>
      <x:c r="E385" t="str">
        <x:v>rail</x:v>
      </x:c>
      <x:c r="F385" s="22" t="n">
        <x:v>822</x:v>
      </x:c>
      <x:c r="G385" s="22" t="n">
        <x:v>906</x:v>
      </x:c>
      <x:c r="H385" t="n">
        <x:v>5</x:v>
      </x:c>
    </x:row>
    <x:row r="386">
      <x:c r="A386" t="str">
        <x:v>TT-US-07</x:v>
      </x:c>
      <x:c r="B386" t="n">
        <x:v>31</x:v>
      </x:c>
      <x:c r="C386" t="str">
        <x:v>New York/New Jersey</x:v>
      </x:c>
      <x:c r="D386" t="str">
        <x:v>Chicago</x:v>
      </x:c>
      <x:c r="E386" t="str">
        <x:v>rail</x:v>
      </x:c>
      <x:c r="F386" s="22" t="n">
        <x:v>850</x:v>
      </x:c>
      <x:c r="G386" s="22" t="n">
        <x:v>934</x:v>
      </x:c>
      <x:c r="H386" t="n">
        <x:v>6</x:v>
      </x:c>
    </x:row>
    <x:row r="387">
      <x:c r="A387" t="str">
        <x:v>TT-US-07</x:v>
      </x:c>
      <x:c r="B387" t="n">
        <x:v>32</x:v>
      </x:c>
      <x:c r="C387" t="str">
        <x:v>New York/New Jersey</x:v>
      </x:c>
      <x:c r="D387" t="str">
        <x:v>Chicago</x:v>
      </x:c>
      <x:c r="E387" t="str">
        <x:v>rail</x:v>
      </x:c>
      <x:c r="F387" s="22" t="n">
        <x:v>878</x:v>
      </x:c>
      <x:c r="G387" s="22" t="n">
        <x:v>962</x:v>
      </x:c>
      <x:c r="H387" t="n">
        <x:v>6</x:v>
      </x:c>
    </x:row>
    <x:row r="388">
      <x:c r="A388" t="str">
        <x:v>TT-US-07</x:v>
      </x:c>
      <x:c r="B388" t="n">
        <x:v>33</x:v>
      </x:c>
      <x:c r="C388" t="str">
        <x:v>New York/New Jersey</x:v>
      </x:c>
      <x:c r="D388" t="str">
        <x:v>Chicago</x:v>
      </x:c>
      <x:c r="E388" t="str">
        <x:v>rail</x:v>
      </x:c>
      <x:c r="F388" s="22" t="n">
        <x:v>906</x:v>
      </x:c>
      <x:c r="G388" s="22" t="n">
        <x:v>990</x:v>
      </x:c>
      <x:c r="H388" t="n">
        <x:v>6</x:v>
      </x:c>
    </x:row>
    <x:row r="389">
      <x:c r="A389" t="str">
        <x:v>TT-US-07</x:v>
      </x:c>
      <x:c r="B389" t="n">
        <x:v>34</x:v>
      </x:c>
      <x:c r="C389" t="str">
        <x:v>New York/New Jersey</x:v>
      </x:c>
      <x:c r="D389" t="str">
        <x:v>Chicago</x:v>
      </x:c>
      <x:c r="E389" t="str">
        <x:v>rail</x:v>
      </x:c>
      <x:c r="F389" s="22" t="n">
        <x:v>934</x:v>
      </x:c>
      <x:c r="G389" s="22" t="n">
        <x:v>1018</x:v>
      </x:c>
      <x:c r="H389" t="n">
        <x:v>6</x:v>
      </x:c>
    </x:row>
    <x:row r="390">
      <x:c r="A390" t="str">
        <x:v>TT-US-07</x:v>
      </x:c>
      <x:c r="B390" t="n">
        <x:v>35</x:v>
      </x:c>
      <x:c r="C390" t="str">
        <x:v>New York/New Jersey</x:v>
      </x:c>
      <x:c r="D390" t="str">
        <x:v>Chicago</x:v>
      </x:c>
      <x:c r="E390" t="str">
        <x:v>rail</x:v>
      </x:c>
      <x:c r="F390" s="22" t="n">
        <x:v>962</x:v>
      </x:c>
      <x:c r="G390" s="22" t="n">
        <x:v>1046</x:v>
      </x:c>
      <x:c r="H390" t="n">
        <x:v>6</x:v>
      </x:c>
    </x:row>
    <x:row r="391">
      <x:c r="A391" t="str">
        <x:v>TT-US-07</x:v>
      </x:c>
      <x:c r="B391" t="n">
        <x:v>36</x:v>
      </x:c>
      <x:c r="C391" t="str">
        <x:v>New York/New Jersey</x:v>
      </x:c>
      <x:c r="D391" t="str">
        <x:v>Chicago</x:v>
      </x:c>
      <x:c r="E391" t="str">
        <x:v>rail</x:v>
      </x:c>
      <x:c r="F391" s="22" t="n">
        <x:v>990</x:v>
      </x:c>
      <x:c r="G391" s="22" t="n">
        <x:v>1074</x:v>
      </x:c>
      <x:c r="H391" t="n">
        <x:v>6</x:v>
      </x:c>
    </x:row>
    <x:row r="392">
      <x:c r="A392" t="str">
        <x:v>TT-US-07</x:v>
      </x:c>
      <x:c r="B392" t="n">
        <x:v>37</x:v>
      </x:c>
      <x:c r="C392" t="str">
        <x:v>New York/New Jersey</x:v>
      </x:c>
      <x:c r="D392" t="str">
        <x:v>Chicago</x:v>
      </x:c>
      <x:c r="E392" t="str">
        <x:v>rail</x:v>
      </x:c>
      <x:c r="F392" s="22" t="n">
        <x:v>1018</x:v>
      </x:c>
      <x:c r="G392" s="22" t="n">
        <x:v>1102</x:v>
      </x:c>
      <x:c r="H392" t="n">
        <x:v>7</x:v>
      </x:c>
    </x:row>
    <x:row r="393">
      <x:c r="A393" t="str">
        <x:v>TT-US-07</x:v>
      </x:c>
      <x:c r="B393" t="n">
        <x:v>38</x:v>
      </x:c>
      <x:c r="C393" t="str">
        <x:v>New York/New Jersey</x:v>
      </x:c>
      <x:c r="D393" t="str">
        <x:v>Chicago</x:v>
      </x:c>
      <x:c r="E393" t="str">
        <x:v>rail</x:v>
      </x:c>
      <x:c r="F393" s="22" t="n">
        <x:v>1046</x:v>
      </x:c>
      <x:c r="G393" s="22" t="n">
        <x:v>1130</x:v>
      </x:c>
      <x:c r="H393" t="n">
        <x:v>7</x:v>
      </x:c>
    </x:row>
    <x:row r="394">
      <x:c r="A394" t="str">
        <x:v>TT-US-07</x:v>
      </x:c>
      <x:c r="B394" t="n">
        <x:v>39</x:v>
      </x:c>
      <x:c r="C394" t="str">
        <x:v>New York/New Jersey</x:v>
      </x:c>
      <x:c r="D394" t="str">
        <x:v>Chicago</x:v>
      </x:c>
      <x:c r="E394" t="str">
        <x:v>rail</x:v>
      </x:c>
      <x:c r="F394" s="22" t="n">
        <x:v>1074</x:v>
      </x:c>
      <x:c r="G394" s="22" t="n">
        <x:v>1158</x:v>
      </x:c>
      <x:c r="H394" t="n">
        <x:v>7</x:v>
      </x:c>
    </x:row>
    <x:row r="395">
      <x:c r="A395" t="str">
        <x:v>TT-US-07</x:v>
      </x:c>
      <x:c r="B395" t="n">
        <x:v>40</x:v>
      </x:c>
      <x:c r="C395" t="str">
        <x:v>New York/New Jersey</x:v>
      </x:c>
      <x:c r="D395" t="str">
        <x:v>Chicago</x:v>
      </x:c>
      <x:c r="E395" t="str">
        <x:v>rail</x:v>
      </x:c>
      <x:c r="F395" s="22" t="n">
        <x:v>1102</x:v>
      </x:c>
      <x:c r="G395" s="22" t="n">
        <x:v>1186</x:v>
      </x:c>
      <x:c r="H395" t="n">
        <x:v>7</x:v>
      </x:c>
    </x:row>
    <x:row r="396">
      <x:c r="A396" t="str">
        <x:v>TT-US-07</x:v>
      </x:c>
      <x:c r="B396" t="n">
        <x:v>41</x:v>
      </x:c>
      <x:c r="C396" t="str">
        <x:v>New York/New Jersey</x:v>
      </x:c>
      <x:c r="D396" t="str">
        <x:v>Chicago</x:v>
      </x:c>
      <x:c r="E396" t="str">
        <x:v>rail</x:v>
      </x:c>
      <x:c r="F396" s="22" t="n">
        <x:v>1130</x:v>
      </x:c>
      <x:c r="G396" s="22" t="n">
        <x:v>1214</x:v>
      </x:c>
      <x:c r="H396" t="n">
        <x:v>7</x:v>
      </x:c>
    </x:row>
    <x:row r="397">
      <x:c r="A397" t="str">
        <x:v>TT-US-07</x:v>
      </x:c>
      <x:c r="B397" t="n">
        <x:v>42</x:v>
      </x:c>
      <x:c r="C397" t="str">
        <x:v>New York/New Jersey</x:v>
      </x:c>
      <x:c r="D397" t="str">
        <x:v>Chicago</x:v>
      </x:c>
      <x:c r="E397" t="str">
        <x:v>rail</x:v>
      </x:c>
      <x:c r="F397" s="22" t="n">
        <x:v>1158</x:v>
      </x:c>
      <x:c r="G397" s="22" t="n">
        <x:v>1242</x:v>
      </x:c>
      <x:c r="H397" t="n">
        <x:v>7</x:v>
      </x:c>
    </x:row>
    <x:row r="398">
      <x:c r="A398" t="str">
        <x:v>TT-US-07</x:v>
      </x:c>
      <x:c r="B398" t="n">
        <x:v>43</x:v>
      </x:c>
      <x:c r="C398" t="str">
        <x:v>New York/New Jersey</x:v>
      </x:c>
      <x:c r="D398" t="str">
        <x:v>Chicago</x:v>
      </x:c>
      <x:c r="E398" t="str">
        <x:v>rail</x:v>
      </x:c>
      <x:c r="F398" s="22" t="n">
        <x:v>1186</x:v>
      </x:c>
      <x:c r="G398" s="22" t="n">
        <x:v>1270</x:v>
      </x:c>
      <x:c r="H398" t="n">
        <x:v>8</x:v>
      </x:c>
    </x:row>
    <x:row r="399">
      <x:c r="A399" t="str">
        <x:v>TT-US-07</x:v>
      </x:c>
      <x:c r="B399" t="n">
        <x:v>44</x:v>
      </x:c>
      <x:c r="C399" t="str">
        <x:v>New York/New Jersey</x:v>
      </x:c>
      <x:c r="D399" t="str">
        <x:v>Chicago</x:v>
      </x:c>
      <x:c r="E399" t="str">
        <x:v>rail</x:v>
      </x:c>
      <x:c r="F399" s="22" t="n">
        <x:v>1214</x:v>
      </x:c>
      <x:c r="G399" s="22" t="n">
        <x:v>1298</x:v>
      </x:c>
      <x:c r="H399" t="n">
        <x:v>8</x:v>
      </x:c>
    </x:row>
    <x:row r="400">
      <x:c r="A400" t="str">
        <x:v>TT-US-07</x:v>
      </x:c>
      <x:c r="B400" t="n">
        <x:v>45</x:v>
      </x:c>
      <x:c r="C400" t="str">
        <x:v>New York/New Jersey</x:v>
      </x:c>
      <x:c r="D400" t="str">
        <x:v>Chicago</x:v>
      </x:c>
      <x:c r="E400" t="str">
        <x:v>rail</x:v>
      </x:c>
      <x:c r="F400" s="22" t="n">
        <x:v>1242</x:v>
      </x:c>
      <x:c r="G400" s="22" t="n">
        <x:v>1326</x:v>
      </x:c>
      <x:c r="H400" t="n">
        <x:v>8</x:v>
      </x:c>
    </x:row>
    <x:row r="401">
      <x:c r="A401" t="str">
        <x:v>TT-US-07</x:v>
      </x:c>
      <x:c r="B401" t="n">
        <x:v>46</x:v>
      </x:c>
      <x:c r="C401" t="str">
        <x:v>New York/New Jersey</x:v>
      </x:c>
      <x:c r="D401" t="str">
        <x:v>Chicago</x:v>
      </x:c>
      <x:c r="E401" t="str">
        <x:v>rail</x:v>
      </x:c>
      <x:c r="F401" s="22" t="n">
        <x:v>1270</x:v>
      </x:c>
      <x:c r="G401" s="22" t="n">
        <x:v>1354</x:v>
      </x:c>
      <x:c r="H401" t="n">
        <x:v>8</x:v>
      </x:c>
    </x:row>
    <x:row r="402">
      <x:c r="A402" t="str">
        <x:v>TT-US-07</x:v>
      </x:c>
      <x:c r="B402" t="n">
        <x:v>47</x:v>
      </x:c>
      <x:c r="C402" t="str">
        <x:v>New York/New Jersey</x:v>
      </x:c>
      <x:c r="D402" t="str">
        <x:v>Chicago</x:v>
      </x:c>
      <x:c r="E402" t="str">
        <x:v>rail</x:v>
      </x:c>
      <x:c r="F402" s="22" t="n">
        <x:v>1298</x:v>
      </x:c>
      <x:c r="G402" s="22" t="n">
        <x:v>1382</x:v>
      </x:c>
      <x:c r="H402" t="n">
        <x:v>8</x:v>
      </x:c>
    </x:row>
    <x:row r="403">
      <x:c r="A403" t="str">
        <x:v>TT-US-07</x:v>
      </x:c>
      <x:c r="B403" t="n">
        <x:v>48</x:v>
      </x:c>
      <x:c r="C403" t="str">
        <x:v>New York/New Jersey</x:v>
      </x:c>
      <x:c r="D403" t="str">
        <x:v>Chicago</x:v>
      </x:c>
      <x:c r="E403" t="str">
        <x:v>rail</x:v>
      </x:c>
      <x:c r="F403" s="22" t="n">
        <x:v>1326</x:v>
      </x:c>
      <x:c r="G403" s="22" t="n">
        <x:v>1410</x:v>
      </x:c>
      <x:c r="H403" t="n">
        <x:v>8</x:v>
      </x:c>
    </x:row>
    <x:row r="404">
      <x:c r="A404" t="str">
        <x:v>TT-US-08</x:v>
      </x:c>
      <x:c r="B404" t="n">
        <x:v>1</x:v>
      </x:c>
      <x:c r="C404" t="str">
        <x:v>New York/New Jersey</x:v>
      </x:c>
      <x:c r="D404" t="str">
        <x:v>Memphis</x:v>
      </x:c>
      <x:c r="E404" t="str">
        <x:v>rail</x:v>
      </x:c>
      <x:c r="F404" s="22" t="n">
        <x:v>10</x:v>
      </x:c>
      <x:c r="G404" s="22" t="n">
        <x:v>106</x:v>
      </x:c>
      <x:c r="H404" t="n">
        <x:v>1</x:v>
      </x:c>
    </x:row>
    <x:row r="405">
      <x:c r="A405" t="str">
        <x:v>TT-US-08</x:v>
      </x:c>
      <x:c r="B405" t="n">
        <x:v>2</x:v>
      </x:c>
      <x:c r="C405" t="str">
        <x:v>New York/New Jersey</x:v>
      </x:c>
      <x:c r="D405" t="str">
        <x:v>Memphis</x:v>
      </x:c>
      <x:c r="E405" t="str">
        <x:v>rail</x:v>
      </x:c>
      <x:c r="F405" s="22" t="n">
        <x:v>38</x:v>
      </x:c>
      <x:c r="G405" s="22" t="n">
        <x:v>134</x:v>
      </x:c>
      <x:c r="H405" t="n">
        <x:v>1</x:v>
      </x:c>
    </x:row>
    <x:row r="406">
      <x:c r="A406" t="str">
        <x:v>TT-US-08</x:v>
      </x:c>
      <x:c r="B406" t="n">
        <x:v>3</x:v>
      </x:c>
      <x:c r="C406" t="str">
        <x:v>New York/New Jersey</x:v>
      </x:c>
      <x:c r="D406" t="str">
        <x:v>Memphis</x:v>
      </x:c>
      <x:c r="E406" t="str">
        <x:v>rail</x:v>
      </x:c>
      <x:c r="F406" s="22" t="n">
        <x:v>66</x:v>
      </x:c>
      <x:c r="G406" s="22" t="n">
        <x:v>162</x:v>
      </x:c>
      <x:c r="H406" t="n">
        <x:v>1</x:v>
      </x:c>
    </x:row>
    <x:row r="407">
      <x:c r="A407" t="str">
        <x:v>TT-US-08</x:v>
      </x:c>
      <x:c r="B407" t="n">
        <x:v>4</x:v>
      </x:c>
      <x:c r="C407" t="str">
        <x:v>New York/New Jersey</x:v>
      </x:c>
      <x:c r="D407" t="str">
        <x:v>Memphis</x:v>
      </x:c>
      <x:c r="E407" t="str">
        <x:v>rail</x:v>
      </x:c>
      <x:c r="F407" s="22" t="n">
        <x:v>94</x:v>
      </x:c>
      <x:c r="G407" s="22" t="n">
        <x:v>190</x:v>
      </x:c>
      <x:c r="H407" t="n">
        <x:v>1</x:v>
      </x:c>
    </x:row>
    <x:row r="408">
      <x:c r="A408" t="str">
        <x:v>TT-US-08</x:v>
      </x:c>
      <x:c r="B408" t="n">
        <x:v>5</x:v>
      </x:c>
      <x:c r="C408" t="str">
        <x:v>New York/New Jersey</x:v>
      </x:c>
      <x:c r="D408" t="str">
        <x:v>Memphis</x:v>
      </x:c>
      <x:c r="E408" t="str">
        <x:v>rail</x:v>
      </x:c>
      <x:c r="F408" s="22" t="n">
        <x:v>122</x:v>
      </x:c>
      <x:c r="G408" s="22" t="n">
        <x:v>218</x:v>
      </x:c>
      <x:c r="H408" t="n">
        <x:v>1</x:v>
      </x:c>
    </x:row>
    <x:row r="409">
      <x:c r="A409" t="str">
        <x:v>TT-US-08</x:v>
      </x:c>
      <x:c r="B409" t="n">
        <x:v>6</x:v>
      </x:c>
      <x:c r="C409" t="str">
        <x:v>New York/New Jersey</x:v>
      </x:c>
      <x:c r="D409" t="str">
        <x:v>Memphis</x:v>
      </x:c>
      <x:c r="E409" t="str">
        <x:v>rail</x:v>
      </x:c>
      <x:c r="F409" s="22" t="n">
        <x:v>150</x:v>
      </x:c>
      <x:c r="G409" s="22" t="n">
        <x:v>246</x:v>
      </x:c>
      <x:c r="H409" t="n">
        <x:v>1</x:v>
      </x:c>
    </x:row>
    <x:row r="410">
      <x:c r="A410" t="str">
        <x:v>TT-US-08</x:v>
      </x:c>
      <x:c r="B410" t="n">
        <x:v>7</x:v>
      </x:c>
      <x:c r="C410" t="str">
        <x:v>New York/New Jersey</x:v>
      </x:c>
      <x:c r="D410" t="str">
        <x:v>Memphis</x:v>
      </x:c>
      <x:c r="E410" t="str">
        <x:v>rail</x:v>
      </x:c>
      <x:c r="F410" s="22" t="n">
        <x:v>178</x:v>
      </x:c>
      <x:c r="G410" s="22" t="n">
        <x:v>274</x:v>
      </x:c>
      <x:c r="H410" t="n">
        <x:v>2</x:v>
      </x:c>
    </x:row>
    <x:row r="411">
      <x:c r="A411" t="str">
        <x:v>TT-US-08</x:v>
      </x:c>
      <x:c r="B411" t="n">
        <x:v>8</x:v>
      </x:c>
      <x:c r="C411" t="str">
        <x:v>New York/New Jersey</x:v>
      </x:c>
      <x:c r="D411" t="str">
        <x:v>Memphis</x:v>
      </x:c>
      <x:c r="E411" t="str">
        <x:v>rail</x:v>
      </x:c>
      <x:c r="F411" s="22" t="n">
        <x:v>206</x:v>
      </x:c>
      <x:c r="G411" s="22" t="n">
        <x:v>302</x:v>
      </x:c>
      <x:c r="H411" t="n">
        <x:v>2</x:v>
      </x:c>
    </x:row>
    <x:row r="412">
      <x:c r="A412" t="str">
        <x:v>TT-US-08</x:v>
      </x:c>
      <x:c r="B412" t="n">
        <x:v>9</x:v>
      </x:c>
      <x:c r="C412" t="str">
        <x:v>New York/New Jersey</x:v>
      </x:c>
      <x:c r="D412" t="str">
        <x:v>Memphis</x:v>
      </x:c>
      <x:c r="E412" t="str">
        <x:v>rail</x:v>
      </x:c>
      <x:c r="F412" s="22" t="n">
        <x:v>234</x:v>
      </x:c>
      <x:c r="G412" s="22" t="n">
        <x:v>330</x:v>
      </x:c>
      <x:c r="H412" t="n">
        <x:v>2</x:v>
      </x:c>
    </x:row>
    <x:row r="413">
      <x:c r="A413" t="str">
        <x:v>TT-US-08</x:v>
      </x:c>
      <x:c r="B413" t="n">
        <x:v>10</x:v>
      </x:c>
      <x:c r="C413" t="str">
        <x:v>New York/New Jersey</x:v>
      </x:c>
      <x:c r="D413" t="str">
        <x:v>Memphis</x:v>
      </x:c>
      <x:c r="E413" t="str">
        <x:v>rail</x:v>
      </x:c>
      <x:c r="F413" s="22" t="n">
        <x:v>262</x:v>
      </x:c>
      <x:c r="G413" s="22" t="n">
        <x:v>358</x:v>
      </x:c>
      <x:c r="H413" t="n">
        <x:v>2</x:v>
      </x:c>
    </x:row>
    <x:row r="414">
      <x:c r="A414" t="str">
        <x:v>TT-US-08</x:v>
      </x:c>
      <x:c r="B414" t="n">
        <x:v>11</x:v>
      </x:c>
      <x:c r="C414" t="str">
        <x:v>New York/New Jersey</x:v>
      </x:c>
      <x:c r="D414" t="str">
        <x:v>Memphis</x:v>
      </x:c>
      <x:c r="E414" t="str">
        <x:v>rail</x:v>
      </x:c>
      <x:c r="F414" s="22" t="n">
        <x:v>290</x:v>
      </x:c>
      <x:c r="G414" s="22" t="n">
        <x:v>386</x:v>
      </x:c>
      <x:c r="H414" t="n">
        <x:v>2</x:v>
      </x:c>
    </x:row>
    <x:row r="415">
      <x:c r="A415" t="str">
        <x:v>TT-US-08</x:v>
      </x:c>
      <x:c r="B415" t="n">
        <x:v>12</x:v>
      </x:c>
      <x:c r="C415" t="str">
        <x:v>New York/New Jersey</x:v>
      </x:c>
      <x:c r="D415" t="str">
        <x:v>Memphis</x:v>
      </x:c>
      <x:c r="E415" t="str">
        <x:v>rail</x:v>
      </x:c>
      <x:c r="F415" s="22" t="n">
        <x:v>318</x:v>
      </x:c>
      <x:c r="G415" s="22" t="n">
        <x:v>414</x:v>
      </x:c>
      <x:c r="H415" t="n">
        <x:v>2</x:v>
      </x:c>
    </x:row>
    <x:row r="416">
      <x:c r="A416" t="str">
        <x:v>TT-US-08</x:v>
      </x:c>
      <x:c r="B416" t="n">
        <x:v>13</x:v>
      </x:c>
      <x:c r="C416" t="str">
        <x:v>New York/New Jersey</x:v>
      </x:c>
      <x:c r="D416" t="str">
        <x:v>Memphis</x:v>
      </x:c>
      <x:c r="E416" t="str">
        <x:v>rail</x:v>
      </x:c>
      <x:c r="F416" s="22" t="n">
        <x:v>346</x:v>
      </x:c>
      <x:c r="G416" s="22" t="n">
        <x:v>442</x:v>
      </x:c>
      <x:c r="H416" t="n">
        <x:v>3</x:v>
      </x:c>
    </x:row>
    <x:row r="417">
      <x:c r="A417" t="str">
        <x:v>TT-US-08</x:v>
      </x:c>
      <x:c r="B417" t="n">
        <x:v>14</x:v>
      </x:c>
      <x:c r="C417" t="str">
        <x:v>New York/New Jersey</x:v>
      </x:c>
      <x:c r="D417" t="str">
        <x:v>Memphis</x:v>
      </x:c>
      <x:c r="E417" t="str">
        <x:v>rail</x:v>
      </x:c>
      <x:c r="F417" s="22" t="n">
        <x:v>374</x:v>
      </x:c>
      <x:c r="G417" s="22" t="n">
        <x:v>470</x:v>
      </x:c>
      <x:c r="H417" t="n">
        <x:v>3</x:v>
      </x:c>
    </x:row>
    <x:row r="418">
      <x:c r="A418" t="str">
        <x:v>TT-US-08</x:v>
      </x:c>
      <x:c r="B418" t="n">
        <x:v>15</x:v>
      </x:c>
      <x:c r="C418" t="str">
        <x:v>New York/New Jersey</x:v>
      </x:c>
      <x:c r="D418" t="str">
        <x:v>Memphis</x:v>
      </x:c>
      <x:c r="E418" t="str">
        <x:v>rail</x:v>
      </x:c>
      <x:c r="F418" s="22" t="n">
        <x:v>402</x:v>
      </x:c>
      <x:c r="G418" s="22" t="n">
        <x:v>498</x:v>
      </x:c>
      <x:c r="H418" t="n">
        <x:v>3</x:v>
      </x:c>
    </x:row>
    <x:row r="419">
      <x:c r="A419" t="str">
        <x:v>TT-US-08</x:v>
      </x:c>
      <x:c r="B419" t="n">
        <x:v>16</x:v>
      </x:c>
      <x:c r="C419" t="str">
        <x:v>New York/New Jersey</x:v>
      </x:c>
      <x:c r="D419" t="str">
        <x:v>Memphis</x:v>
      </x:c>
      <x:c r="E419" t="str">
        <x:v>rail</x:v>
      </x:c>
      <x:c r="F419" s="22" t="n">
        <x:v>430</x:v>
      </x:c>
      <x:c r="G419" s="22" t="n">
        <x:v>526</x:v>
      </x:c>
      <x:c r="H419" t="n">
        <x:v>3</x:v>
      </x:c>
    </x:row>
    <x:row r="420">
      <x:c r="A420" t="str">
        <x:v>TT-US-08</x:v>
      </x:c>
      <x:c r="B420" t="n">
        <x:v>17</x:v>
      </x:c>
      <x:c r="C420" t="str">
        <x:v>New York/New Jersey</x:v>
      </x:c>
      <x:c r="D420" t="str">
        <x:v>Memphis</x:v>
      </x:c>
      <x:c r="E420" t="str">
        <x:v>rail</x:v>
      </x:c>
      <x:c r="F420" s="22" t="n">
        <x:v>458</x:v>
      </x:c>
      <x:c r="G420" s="22" t="n">
        <x:v>554</x:v>
      </x:c>
      <x:c r="H420" t="n">
        <x:v>3</x:v>
      </x:c>
    </x:row>
    <x:row r="421">
      <x:c r="A421" t="str">
        <x:v>TT-US-08</x:v>
      </x:c>
      <x:c r="B421" t="n">
        <x:v>18</x:v>
      </x:c>
      <x:c r="C421" t="str">
        <x:v>New York/New Jersey</x:v>
      </x:c>
      <x:c r="D421" t="str">
        <x:v>Memphis</x:v>
      </x:c>
      <x:c r="E421" t="str">
        <x:v>rail</x:v>
      </x:c>
      <x:c r="F421" s="22" t="n">
        <x:v>486</x:v>
      </x:c>
      <x:c r="G421" s="22" t="n">
        <x:v>582</x:v>
      </x:c>
      <x:c r="H421" t="n">
        <x:v>3</x:v>
      </x:c>
    </x:row>
    <x:row r="422">
      <x:c r="A422" t="str">
        <x:v>TT-US-08</x:v>
      </x:c>
      <x:c r="B422" t="n">
        <x:v>19</x:v>
      </x:c>
      <x:c r="C422" t="str">
        <x:v>New York/New Jersey</x:v>
      </x:c>
      <x:c r="D422" t="str">
        <x:v>Memphis</x:v>
      </x:c>
      <x:c r="E422" t="str">
        <x:v>rail</x:v>
      </x:c>
      <x:c r="F422" s="22" t="n">
        <x:v>514</x:v>
      </x:c>
      <x:c r="G422" s="22" t="n">
        <x:v>610</x:v>
      </x:c>
      <x:c r="H422" t="n">
        <x:v>4</x:v>
      </x:c>
    </x:row>
    <x:row r="423">
      <x:c r="A423" t="str">
        <x:v>TT-US-08</x:v>
      </x:c>
      <x:c r="B423" t="n">
        <x:v>20</x:v>
      </x:c>
      <x:c r="C423" t="str">
        <x:v>New York/New Jersey</x:v>
      </x:c>
      <x:c r="D423" t="str">
        <x:v>Memphis</x:v>
      </x:c>
      <x:c r="E423" t="str">
        <x:v>rail</x:v>
      </x:c>
      <x:c r="F423" s="22" t="n">
        <x:v>542</x:v>
      </x:c>
      <x:c r="G423" s="22" t="n">
        <x:v>638</x:v>
      </x:c>
      <x:c r="H423" t="n">
        <x:v>4</x:v>
      </x:c>
    </x:row>
    <x:row r="424">
      <x:c r="A424" t="str">
        <x:v>TT-US-08</x:v>
      </x:c>
      <x:c r="B424" t="n">
        <x:v>21</x:v>
      </x:c>
      <x:c r="C424" t="str">
        <x:v>New York/New Jersey</x:v>
      </x:c>
      <x:c r="D424" t="str">
        <x:v>Memphis</x:v>
      </x:c>
      <x:c r="E424" t="str">
        <x:v>rail</x:v>
      </x:c>
      <x:c r="F424" s="22" t="n">
        <x:v>570</x:v>
      </x:c>
      <x:c r="G424" s="22" t="n">
        <x:v>666</x:v>
      </x:c>
      <x:c r="H424" t="n">
        <x:v>4</x:v>
      </x:c>
    </x:row>
    <x:row r="425">
      <x:c r="A425" t="str">
        <x:v>TT-US-08</x:v>
      </x:c>
      <x:c r="B425" t="n">
        <x:v>22</x:v>
      </x:c>
      <x:c r="C425" t="str">
        <x:v>New York/New Jersey</x:v>
      </x:c>
      <x:c r="D425" t="str">
        <x:v>Memphis</x:v>
      </x:c>
      <x:c r="E425" t="str">
        <x:v>rail</x:v>
      </x:c>
      <x:c r="F425" s="22" t="n">
        <x:v>598</x:v>
      </x:c>
      <x:c r="G425" s="22" t="n">
        <x:v>694</x:v>
      </x:c>
      <x:c r="H425" t="n">
        <x:v>4</x:v>
      </x:c>
    </x:row>
    <x:row r="426">
      <x:c r="A426" t="str">
        <x:v>TT-US-08</x:v>
      </x:c>
      <x:c r="B426" t="n">
        <x:v>23</x:v>
      </x:c>
      <x:c r="C426" t="str">
        <x:v>New York/New Jersey</x:v>
      </x:c>
      <x:c r="D426" t="str">
        <x:v>Memphis</x:v>
      </x:c>
      <x:c r="E426" t="str">
        <x:v>rail</x:v>
      </x:c>
      <x:c r="F426" s="22" t="n">
        <x:v>626</x:v>
      </x:c>
      <x:c r="G426" s="22" t="n">
        <x:v>722</x:v>
      </x:c>
      <x:c r="H426" t="n">
        <x:v>4</x:v>
      </x:c>
    </x:row>
    <x:row r="427">
      <x:c r="A427" t="str">
        <x:v>TT-US-08</x:v>
      </x:c>
      <x:c r="B427" t="n">
        <x:v>24</x:v>
      </x:c>
      <x:c r="C427" t="str">
        <x:v>New York/New Jersey</x:v>
      </x:c>
      <x:c r="D427" t="str">
        <x:v>Memphis</x:v>
      </x:c>
      <x:c r="E427" t="str">
        <x:v>rail</x:v>
      </x:c>
      <x:c r="F427" s="22" t="n">
        <x:v>654</x:v>
      </x:c>
      <x:c r="G427" s="22" t="n">
        <x:v>750</x:v>
      </x:c>
      <x:c r="H427" t="n">
        <x:v>4</x:v>
      </x:c>
    </x:row>
    <x:row r="428">
      <x:c r="A428" t="str">
        <x:v>TT-US-08</x:v>
      </x:c>
      <x:c r="B428" t="n">
        <x:v>25</x:v>
      </x:c>
      <x:c r="C428" t="str">
        <x:v>New York/New Jersey</x:v>
      </x:c>
      <x:c r="D428" t="str">
        <x:v>Memphis</x:v>
      </x:c>
      <x:c r="E428" t="str">
        <x:v>rail</x:v>
      </x:c>
      <x:c r="F428" s="22" t="n">
        <x:v>682</x:v>
      </x:c>
      <x:c r="G428" s="22" t="n">
        <x:v>778</x:v>
      </x:c>
      <x:c r="H428" t="n">
        <x:v>5</x:v>
      </x:c>
    </x:row>
    <x:row r="429">
      <x:c r="A429" t="str">
        <x:v>TT-US-08</x:v>
      </x:c>
      <x:c r="B429" t="n">
        <x:v>26</x:v>
      </x:c>
      <x:c r="C429" t="str">
        <x:v>New York/New Jersey</x:v>
      </x:c>
      <x:c r="D429" t="str">
        <x:v>Memphis</x:v>
      </x:c>
      <x:c r="E429" t="str">
        <x:v>rail</x:v>
      </x:c>
      <x:c r="F429" s="22" t="n">
        <x:v>710</x:v>
      </x:c>
      <x:c r="G429" s="22" t="n">
        <x:v>806</x:v>
      </x:c>
      <x:c r="H429" t="n">
        <x:v>5</x:v>
      </x:c>
    </x:row>
    <x:row r="430">
      <x:c r="A430" t="str">
        <x:v>TT-US-08</x:v>
      </x:c>
      <x:c r="B430" t="n">
        <x:v>27</x:v>
      </x:c>
      <x:c r="C430" t="str">
        <x:v>New York/New Jersey</x:v>
      </x:c>
      <x:c r="D430" t="str">
        <x:v>Memphis</x:v>
      </x:c>
      <x:c r="E430" t="str">
        <x:v>rail</x:v>
      </x:c>
      <x:c r="F430" s="22" t="n">
        <x:v>738</x:v>
      </x:c>
      <x:c r="G430" s="22" t="n">
        <x:v>834</x:v>
      </x:c>
      <x:c r="H430" t="n">
        <x:v>5</x:v>
      </x:c>
    </x:row>
    <x:row r="431">
      <x:c r="A431" t="str">
        <x:v>TT-US-08</x:v>
      </x:c>
      <x:c r="B431" t="n">
        <x:v>28</x:v>
      </x:c>
      <x:c r="C431" t="str">
        <x:v>New York/New Jersey</x:v>
      </x:c>
      <x:c r="D431" t="str">
        <x:v>Memphis</x:v>
      </x:c>
      <x:c r="E431" t="str">
        <x:v>rail</x:v>
      </x:c>
      <x:c r="F431" s="22" t="n">
        <x:v>766</x:v>
      </x:c>
      <x:c r="G431" s="22" t="n">
        <x:v>862</x:v>
      </x:c>
      <x:c r="H431" t="n">
        <x:v>5</x:v>
      </x:c>
    </x:row>
    <x:row r="432">
      <x:c r="A432" t="str">
        <x:v>TT-US-08</x:v>
      </x:c>
      <x:c r="B432" t="n">
        <x:v>29</x:v>
      </x:c>
      <x:c r="C432" t="str">
        <x:v>New York/New Jersey</x:v>
      </x:c>
      <x:c r="D432" t="str">
        <x:v>Memphis</x:v>
      </x:c>
      <x:c r="E432" t="str">
        <x:v>rail</x:v>
      </x:c>
      <x:c r="F432" s="22" t="n">
        <x:v>794</x:v>
      </x:c>
      <x:c r="G432" s="22" t="n">
        <x:v>890</x:v>
      </x:c>
      <x:c r="H432" t="n">
        <x:v>5</x:v>
      </x:c>
    </x:row>
    <x:row r="433">
      <x:c r="A433" t="str">
        <x:v>TT-US-08</x:v>
      </x:c>
      <x:c r="B433" t="n">
        <x:v>30</x:v>
      </x:c>
      <x:c r="C433" t="str">
        <x:v>New York/New Jersey</x:v>
      </x:c>
      <x:c r="D433" t="str">
        <x:v>Memphis</x:v>
      </x:c>
      <x:c r="E433" t="str">
        <x:v>rail</x:v>
      </x:c>
      <x:c r="F433" s="22" t="n">
        <x:v>822</x:v>
      </x:c>
      <x:c r="G433" s="22" t="n">
        <x:v>918</x:v>
      </x:c>
      <x:c r="H433" t="n">
        <x:v>5</x:v>
      </x:c>
    </x:row>
    <x:row r="434">
      <x:c r="A434" t="str">
        <x:v>TT-US-08</x:v>
      </x:c>
      <x:c r="B434" t="n">
        <x:v>31</x:v>
      </x:c>
      <x:c r="C434" t="str">
        <x:v>New York/New Jersey</x:v>
      </x:c>
      <x:c r="D434" t="str">
        <x:v>Memphis</x:v>
      </x:c>
      <x:c r="E434" t="str">
        <x:v>rail</x:v>
      </x:c>
      <x:c r="F434" s="22" t="n">
        <x:v>850</x:v>
      </x:c>
      <x:c r="G434" s="22" t="n">
        <x:v>946</x:v>
      </x:c>
      <x:c r="H434" t="n">
        <x:v>6</x:v>
      </x:c>
    </x:row>
    <x:row r="435">
      <x:c r="A435" t="str">
        <x:v>TT-US-08</x:v>
      </x:c>
      <x:c r="B435" t="n">
        <x:v>32</x:v>
      </x:c>
      <x:c r="C435" t="str">
        <x:v>New York/New Jersey</x:v>
      </x:c>
      <x:c r="D435" t="str">
        <x:v>Memphis</x:v>
      </x:c>
      <x:c r="E435" t="str">
        <x:v>rail</x:v>
      </x:c>
      <x:c r="F435" s="22" t="n">
        <x:v>878</x:v>
      </x:c>
      <x:c r="G435" s="22" t="n">
        <x:v>974</x:v>
      </x:c>
      <x:c r="H435" t="n">
        <x:v>6</x:v>
      </x:c>
    </x:row>
    <x:row r="436">
      <x:c r="A436" t="str">
        <x:v>TT-US-08</x:v>
      </x:c>
      <x:c r="B436" t="n">
        <x:v>33</x:v>
      </x:c>
      <x:c r="C436" t="str">
        <x:v>New York/New Jersey</x:v>
      </x:c>
      <x:c r="D436" t="str">
        <x:v>Memphis</x:v>
      </x:c>
      <x:c r="E436" t="str">
        <x:v>rail</x:v>
      </x:c>
      <x:c r="F436" s="22" t="n">
        <x:v>906</x:v>
      </x:c>
      <x:c r="G436" s="22" t="n">
        <x:v>1002</x:v>
      </x:c>
      <x:c r="H436" t="n">
        <x:v>6</x:v>
      </x:c>
    </x:row>
    <x:row r="437">
      <x:c r="A437" t="str">
        <x:v>TT-US-08</x:v>
      </x:c>
      <x:c r="B437" t="n">
        <x:v>34</x:v>
      </x:c>
      <x:c r="C437" t="str">
        <x:v>New York/New Jersey</x:v>
      </x:c>
      <x:c r="D437" t="str">
        <x:v>Memphis</x:v>
      </x:c>
      <x:c r="E437" t="str">
        <x:v>rail</x:v>
      </x:c>
      <x:c r="F437" s="22" t="n">
        <x:v>934</x:v>
      </x:c>
      <x:c r="G437" s="22" t="n">
        <x:v>1030</x:v>
      </x:c>
      <x:c r="H437" t="n">
        <x:v>6</x:v>
      </x:c>
    </x:row>
    <x:row r="438">
      <x:c r="A438" t="str">
        <x:v>TT-US-08</x:v>
      </x:c>
      <x:c r="B438" t="n">
        <x:v>35</x:v>
      </x:c>
      <x:c r="C438" t="str">
        <x:v>New York/New Jersey</x:v>
      </x:c>
      <x:c r="D438" t="str">
        <x:v>Memphis</x:v>
      </x:c>
      <x:c r="E438" t="str">
        <x:v>rail</x:v>
      </x:c>
      <x:c r="F438" s="22" t="n">
        <x:v>962</x:v>
      </x:c>
      <x:c r="G438" s="22" t="n">
        <x:v>1058</x:v>
      </x:c>
      <x:c r="H438" t="n">
        <x:v>6</x:v>
      </x:c>
    </x:row>
    <x:row r="439">
      <x:c r="A439" t="str">
        <x:v>TT-US-08</x:v>
      </x:c>
      <x:c r="B439" t="n">
        <x:v>36</x:v>
      </x:c>
      <x:c r="C439" t="str">
        <x:v>New York/New Jersey</x:v>
      </x:c>
      <x:c r="D439" t="str">
        <x:v>Memphis</x:v>
      </x:c>
      <x:c r="E439" t="str">
        <x:v>rail</x:v>
      </x:c>
      <x:c r="F439" s="22" t="n">
        <x:v>990</x:v>
      </x:c>
      <x:c r="G439" s="22" t="n">
        <x:v>1086</x:v>
      </x:c>
      <x:c r="H439" t="n">
        <x:v>6</x:v>
      </x:c>
    </x:row>
    <x:row r="440">
      <x:c r="A440" t="str">
        <x:v>TT-US-08</x:v>
      </x:c>
      <x:c r="B440" t="n">
        <x:v>37</x:v>
      </x:c>
      <x:c r="C440" t="str">
        <x:v>New York/New Jersey</x:v>
      </x:c>
      <x:c r="D440" t="str">
        <x:v>Memphis</x:v>
      </x:c>
      <x:c r="E440" t="str">
        <x:v>rail</x:v>
      </x:c>
      <x:c r="F440" s="22" t="n">
        <x:v>1018</x:v>
      </x:c>
      <x:c r="G440" s="22" t="n">
        <x:v>1114</x:v>
      </x:c>
      <x:c r="H440" t="n">
        <x:v>7</x:v>
      </x:c>
    </x:row>
    <x:row r="441">
      <x:c r="A441" t="str">
        <x:v>TT-US-08</x:v>
      </x:c>
      <x:c r="B441" t="n">
        <x:v>38</x:v>
      </x:c>
      <x:c r="C441" t="str">
        <x:v>New York/New Jersey</x:v>
      </x:c>
      <x:c r="D441" t="str">
        <x:v>Memphis</x:v>
      </x:c>
      <x:c r="E441" t="str">
        <x:v>rail</x:v>
      </x:c>
      <x:c r="F441" s="22" t="n">
        <x:v>1046</x:v>
      </x:c>
      <x:c r="G441" s="22" t="n">
        <x:v>1142</x:v>
      </x:c>
      <x:c r="H441" t="n">
        <x:v>7</x:v>
      </x:c>
    </x:row>
    <x:row r="442">
      <x:c r="A442" t="str">
        <x:v>TT-US-08</x:v>
      </x:c>
      <x:c r="B442" t="n">
        <x:v>39</x:v>
      </x:c>
      <x:c r="C442" t="str">
        <x:v>New York/New Jersey</x:v>
      </x:c>
      <x:c r="D442" t="str">
        <x:v>Memphis</x:v>
      </x:c>
      <x:c r="E442" t="str">
        <x:v>rail</x:v>
      </x:c>
      <x:c r="F442" s="22" t="n">
        <x:v>1074</x:v>
      </x:c>
      <x:c r="G442" s="22" t="n">
        <x:v>1170</x:v>
      </x:c>
      <x:c r="H442" t="n">
        <x:v>7</x:v>
      </x:c>
    </x:row>
    <x:row r="443">
      <x:c r="A443" t="str">
        <x:v>TT-US-08</x:v>
      </x:c>
      <x:c r="B443" t="n">
        <x:v>40</x:v>
      </x:c>
      <x:c r="C443" t="str">
        <x:v>New York/New Jersey</x:v>
      </x:c>
      <x:c r="D443" t="str">
        <x:v>Memphis</x:v>
      </x:c>
      <x:c r="E443" t="str">
        <x:v>rail</x:v>
      </x:c>
      <x:c r="F443" s="22" t="n">
        <x:v>1102</x:v>
      </x:c>
      <x:c r="G443" s="22" t="n">
        <x:v>1198</x:v>
      </x:c>
      <x:c r="H443" t="n">
        <x:v>7</x:v>
      </x:c>
    </x:row>
    <x:row r="444">
      <x:c r="A444" t="str">
        <x:v>TT-US-08</x:v>
      </x:c>
      <x:c r="B444" t="n">
        <x:v>41</x:v>
      </x:c>
      <x:c r="C444" t="str">
        <x:v>New York/New Jersey</x:v>
      </x:c>
      <x:c r="D444" t="str">
        <x:v>Memphis</x:v>
      </x:c>
      <x:c r="E444" t="str">
        <x:v>rail</x:v>
      </x:c>
      <x:c r="F444" s="22" t="n">
        <x:v>1130</x:v>
      </x:c>
      <x:c r="G444" s="22" t="n">
        <x:v>1226</x:v>
      </x:c>
      <x:c r="H444" t="n">
        <x:v>7</x:v>
      </x:c>
    </x:row>
    <x:row r="445">
      <x:c r="A445" t="str">
        <x:v>TT-US-08</x:v>
      </x:c>
      <x:c r="B445" t="n">
        <x:v>42</x:v>
      </x:c>
      <x:c r="C445" t="str">
        <x:v>New York/New Jersey</x:v>
      </x:c>
      <x:c r="D445" t="str">
        <x:v>Memphis</x:v>
      </x:c>
      <x:c r="E445" t="str">
        <x:v>rail</x:v>
      </x:c>
      <x:c r="F445" s="22" t="n">
        <x:v>1158</x:v>
      </x:c>
      <x:c r="G445" s="22" t="n">
        <x:v>1254</x:v>
      </x:c>
      <x:c r="H445" t="n">
        <x:v>7</x:v>
      </x:c>
    </x:row>
    <x:row r="446">
      <x:c r="A446" t="str">
        <x:v>TT-US-08</x:v>
      </x:c>
      <x:c r="B446" t="n">
        <x:v>43</x:v>
      </x:c>
      <x:c r="C446" t="str">
        <x:v>New York/New Jersey</x:v>
      </x:c>
      <x:c r="D446" t="str">
        <x:v>Memphis</x:v>
      </x:c>
      <x:c r="E446" t="str">
        <x:v>rail</x:v>
      </x:c>
      <x:c r="F446" s="22" t="n">
        <x:v>1186</x:v>
      </x:c>
      <x:c r="G446" s="22" t="n">
        <x:v>1282</x:v>
      </x:c>
      <x:c r="H446" t="n">
        <x:v>8</x:v>
      </x:c>
    </x:row>
    <x:row r="447">
      <x:c r="A447" t="str">
        <x:v>TT-US-08</x:v>
      </x:c>
      <x:c r="B447" t="n">
        <x:v>44</x:v>
      </x:c>
      <x:c r="C447" t="str">
        <x:v>New York/New Jersey</x:v>
      </x:c>
      <x:c r="D447" t="str">
        <x:v>Memphis</x:v>
      </x:c>
      <x:c r="E447" t="str">
        <x:v>rail</x:v>
      </x:c>
      <x:c r="F447" s="22" t="n">
        <x:v>1214</x:v>
      </x:c>
      <x:c r="G447" s="22" t="n">
        <x:v>1310</x:v>
      </x:c>
      <x:c r="H447" t="n">
        <x:v>8</x:v>
      </x:c>
    </x:row>
    <x:row r="448">
      <x:c r="A448" t="str">
        <x:v>TT-US-08</x:v>
      </x:c>
      <x:c r="B448" t="n">
        <x:v>45</x:v>
      </x:c>
      <x:c r="C448" t="str">
        <x:v>New York/New Jersey</x:v>
      </x:c>
      <x:c r="D448" t="str">
        <x:v>Memphis</x:v>
      </x:c>
      <x:c r="E448" t="str">
        <x:v>rail</x:v>
      </x:c>
      <x:c r="F448" s="22" t="n">
        <x:v>1242</x:v>
      </x:c>
      <x:c r="G448" s="22" t="n">
        <x:v>1338</x:v>
      </x:c>
      <x:c r="H448" t="n">
        <x:v>8</x:v>
      </x:c>
    </x:row>
    <x:row r="449">
      <x:c r="A449" t="str">
        <x:v>TT-US-08</x:v>
      </x:c>
      <x:c r="B449" t="n">
        <x:v>46</x:v>
      </x:c>
      <x:c r="C449" t="str">
        <x:v>New York/New Jersey</x:v>
      </x:c>
      <x:c r="D449" t="str">
        <x:v>Memphis</x:v>
      </x:c>
      <x:c r="E449" t="str">
        <x:v>rail</x:v>
      </x:c>
      <x:c r="F449" s="22" t="n">
        <x:v>1270</x:v>
      </x:c>
      <x:c r="G449" s="22" t="n">
        <x:v>1366</x:v>
      </x:c>
      <x:c r="H449" t="n">
        <x:v>8</x:v>
      </x:c>
    </x:row>
    <x:row r="450">
      <x:c r="A450" t="str">
        <x:v>TT-US-08</x:v>
      </x:c>
      <x:c r="B450" t="n">
        <x:v>47</x:v>
      </x:c>
      <x:c r="C450" t="str">
        <x:v>New York/New Jersey</x:v>
      </x:c>
      <x:c r="D450" t="str">
        <x:v>Memphis</x:v>
      </x:c>
      <x:c r="E450" t="str">
        <x:v>rail</x:v>
      </x:c>
      <x:c r="F450" s="22" t="n">
        <x:v>1298</x:v>
      </x:c>
      <x:c r="G450" s="22" t="n">
        <x:v>1394</x:v>
      </x:c>
      <x:c r="H450" t="n">
        <x:v>8</x:v>
      </x:c>
    </x:row>
    <x:row r="451">
      <x:c r="A451" t="str">
        <x:v>TT-US-08</x:v>
      </x:c>
      <x:c r="B451" t="n">
        <x:v>48</x:v>
      </x:c>
      <x:c r="C451" t="str">
        <x:v>New York/New Jersey</x:v>
      </x:c>
      <x:c r="D451" t="str">
        <x:v>Memphis</x:v>
      </x:c>
      <x:c r="E451" t="str">
        <x:v>rail</x:v>
      </x:c>
      <x:c r="F451" s="22" t="n">
        <x:v>1326</x:v>
      </x:c>
      <x:c r="G451" s="22" t="n">
        <x:v>1422</x:v>
      </x:c>
      <x:c r="H451" t="n">
        <x:v>8</x:v>
      </x:c>
    </x:row>
    <x:row r="452">
      <x:c r="A452" t="str">
        <x:v>TT-US-09</x:v>
      </x:c>
      <x:c r="B452" t="n">
        <x:v>1</x:v>
      </x:c>
      <x:c r="C452" t="str">
        <x:v>New York/New Jersey</x:v>
      </x:c>
      <x:c r="D452" t="str">
        <x:v>Columbus</x:v>
      </x:c>
      <x:c r="E452" t="str">
        <x:v>rail</x:v>
      </x:c>
      <x:c r="F452" s="22" t="n">
        <x:v>10</x:v>
      </x:c>
      <x:c r="G452" s="22" t="n">
        <x:v>82</x:v>
      </x:c>
      <x:c r="H452" t="n">
        <x:v>1</x:v>
      </x:c>
    </x:row>
    <x:row r="453">
      <x:c r="A453" t="str">
        <x:v>TT-US-09</x:v>
      </x:c>
      <x:c r="B453" t="n">
        <x:v>2</x:v>
      </x:c>
      <x:c r="C453" t="str">
        <x:v>New York/New Jersey</x:v>
      </x:c>
      <x:c r="D453" t="str">
        <x:v>Columbus</x:v>
      </x:c>
      <x:c r="E453" t="str">
        <x:v>rail</x:v>
      </x:c>
      <x:c r="F453" s="22" t="n">
        <x:v>38</x:v>
      </x:c>
      <x:c r="G453" s="22" t="n">
        <x:v>110</x:v>
      </x:c>
      <x:c r="H453" t="n">
        <x:v>1</x:v>
      </x:c>
    </x:row>
    <x:row r="454">
      <x:c r="A454" t="str">
        <x:v>TT-US-09</x:v>
      </x:c>
      <x:c r="B454" t="n">
        <x:v>3</x:v>
      </x:c>
      <x:c r="C454" t="str">
        <x:v>New York/New Jersey</x:v>
      </x:c>
      <x:c r="D454" t="str">
        <x:v>Columbus</x:v>
      </x:c>
      <x:c r="E454" t="str">
        <x:v>rail</x:v>
      </x:c>
      <x:c r="F454" s="22" t="n">
        <x:v>66</x:v>
      </x:c>
      <x:c r="G454" s="22" t="n">
        <x:v>138</x:v>
      </x:c>
      <x:c r="H454" t="n">
        <x:v>1</x:v>
      </x:c>
    </x:row>
    <x:row r="455">
      <x:c r="A455" t="str">
        <x:v>TT-US-09</x:v>
      </x:c>
      <x:c r="B455" t="n">
        <x:v>4</x:v>
      </x:c>
      <x:c r="C455" t="str">
        <x:v>New York/New Jersey</x:v>
      </x:c>
      <x:c r="D455" t="str">
        <x:v>Columbus</x:v>
      </x:c>
      <x:c r="E455" t="str">
        <x:v>rail</x:v>
      </x:c>
      <x:c r="F455" s="22" t="n">
        <x:v>94</x:v>
      </x:c>
      <x:c r="G455" s="22" t="n">
        <x:v>166</x:v>
      </x:c>
      <x:c r="H455" t="n">
        <x:v>1</x:v>
      </x:c>
    </x:row>
    <x:row r="456">
      <x:c r="A456" t="str">
        <x:v>TT-US-09</x:v>
      </x:c>
      <x:c r="B456" t="n">
        <x:v>5</x:v>
      </x:c>
      <x:c r="C456" t="str">
        <x:v>New York/New Jersey</x:v>
      </x:c>
      <x:c r="D456" t="str">
        <x:v>Columbus</x:v>
      </x:c>
      <x:c r="E456" t="str">
        <x:v>rail</x:v>
      </x:c>
      <x:c r="F456" s="22" t="n">
        <x:v>122</x:v>
      </x:c>
      <x:c r="G456" s="22" t="n">
        <x:v>194</x:v>
      </x:c>
      <x:c r="H456" t="n">
        <x:v>1</x:v>
      </x:c>
    </x:row>
    <x:row r="457">
      <x:c r="A457" t="str">
        <x:v>TT-US-09</x:v>
      </x:c>
      <x:c r="B457" t="n">
        <x:v>6</x:v>
      </x:c>
      <x:c r="C457" t="str">
        <x:v>New York/New Jersey</x:v>
      </x:c>
      <x:c r="D457" t="str">
        <x:v>Columbus</x:v>
      </x:c>
      <x:c r="E457" t="str">
        <x:v>rail</x:v>
      </x:c>
      <x:c r="F457" s="22" t="n">
        <x:v>150</x:v>
      </x:c>
      <x:c r="G457" s="22" t="n">
        <x:v>222</x:v>
      </x:c>
      <x:c r="H457" t="n">
        <x:v>1</x:v>
      </x:c>
    </x:row>
    <x:row r="458">
      <x:c r="A458" t="str">
        <x:v>TT-US-09</x:v>
      </x:c>
      <x:c r="B458" t="n">
        <x:v>7</x:v>
      </x:c>
      <x:c r="C458" t="str">
        <x:v>New York/New Jersey</x:v>
      </x:c>
      <x:c r="D458" t="str">
        <x:v>Columbus</x:v>
      </x:c>
      <x:c r="E458" t="str">
        <x:v>rail</x:v>
      </x:c>
      <x:c r="F458" s="22" t="n">
        <x:v>178</x:v>
      </x:c>
      <x:c r="G458" s="22" t="n">
        <x:v>250</x:v>
      </x:c>
      <x:c r="H458" t="n">
        <x:v>2</x:v>
      </x:c>
    </x:row>
    <x:row r="459">
      <x:c r="A459" t="str">
        <x:v>TT-US-09</x:v>
      </x:c>
      <x:c r="B459" t="n">
        <x:v>8</x:v>
      </x:c>
      <x:c r="C459" t="str">
        <x:v>New York/New Jersey</x:v>
      </x:c>
      <x:c r="D459" t="str">
        <x:v>Columbus</x:v>
      </x:c>
      <x:c r="E459" t="str">
        <x:v>rail</x:v>
      </x:c>
      <x:c r="F459" s="22" t="n">
        <x:v>206</x:v>
      </x:c>
      <x:c r="G459" s="22" t="n">
        <x:v>278</x:v>
      </x:c>
      <x:c r="H459" t="n">
        <x:v>2</x:v>
      </x:c>
    </x:row>
    <x:row r="460">
      <x:c r="A460" t="str">
        <x:v>TT-US-09</x:v>
      </x:c>
      <x:c r="B460" t="n">
        <x:v>9</x:v>
      </x:c>
      <x:c r="C460" t="str">
        <x:v>New York/New Jersey</x:v>
      </x:c>
      <x:c r="D460" t="str">
        <x:v>Columbus</x:v>
      </x:c>
      <x:c r="E460" t="str">
        <x:v>rail</x:v>
      </x:c>
      <x:c r="F460" s="22" t="n">
        <x:v>234</x:v>
      </x:c>
      <x:c r="G460" s="22" t="n">
        <x:v>306</x:v>
      </x:c>
      <x:c r="H460" t="n">
        <x:v>2</x:v>
      </x:c>
    </x:row>
    <x:row r="461">
      <x:c r="A461" t="str">
        <x:v>TT-US-09</x:v>
      </x:c>
      <x:c r="B461" t="n">
        <x:v>10</x:v>
      </x:c>
      <x:c r="C461" t="str">
        <x:v>New York/New Jersey</x:v>
      </x:c>
      <x:c r="D461" t="str">
        <x:v>Columbus</x:v>
      </x:c>
      <x:c r="E461" t="str">
        <x:v>rail</x:v>
      </x:c>
      <x:c r="F461" s="22" t="n">
        <x:v>262</x:v>
      </x:c>
      <x:c r="G461" s="22" t="n">
        <x:v>334</x:v>
      </x:c>
      <x:c r="H461" t="n">
        <x:v>2</x:v>
      </x:c>
    </x:row>
    <x:row r="462">
      <x:c r="A462" t="str">
        <x:v>TT-US-09</x:v>
      </x:c>
      <x:c r="B462" t="n">
        <x:v>11</x:v>
      </x:c>
      <x:c r="C462" t="str">
        <x:v>New York/New Jersey</x:v>
      </x:c>
      <x:c r="D462" t="str">
        <x:v>Columbus</x:v>
      </x:c>
      <x:c r="E462" t="str">
        <x:v>rail</x:v>
      </x:c>
      <x:c r="F462" s="22" t="n">
        <x:v>290</x:v>
      </x:c>
      <x:c r="G462" s="22" t="n">
        <x:v>362</x:v>
      </x:c>
      <x:c r="H462" t="n">
        <x:v>2</x:v>
      </x:c>
    </x:row>
    <x:row r="463">
      <x:c r="A463" t="str">
        <x:v>TT-US-09</x:v>
      </x:c>
      <x:c r="B463" t="n">
        <x:v>12</x:v>
      </x:c>
      <x:c r="C463" t="str">
        <x:v>New York/New Jersey</x:v>
      </x:c>
      <x:c r="D463" t="str">
        <x:v>Columbus</x:v>
      </x:c>
      <x:c r="E463" t="str">
        <x:v>rail</x:v>
      </x:c>
      <x:c r="F463" s="22" t="n">
        <x:v>318</x:v>
      </x:c>
      <x:c r="G463" s="22" t="n">
        <x:v>390</x:v>
      </x:c>
      <x:c r="H463" t="n">
        <x:v>2</x:v>
      </x:c>
    </x:row>
    <x:row r="464">
      <x:c r="A464" t="str">
        <x:v>TT-US-09</x:v>
      </x:c>
      <x:c r="B464" t="n">
        <x:v>13</x:v>
      </x:c>
      <x:c r="C464" t="str">
        <x:v>New York/New Jersey</x:v>
      </x:c>
      <x:c r="D464" t="str">
        <x:v>Columbus</x:v>
      </x:c>
      <x:c r="E464" t="str">
        <x:v>rail</x:v>
      </x:c>
      <x:c r="F464" s="22" t="n">
        <x:v>346</x:v>
      </x:c>
      <x:c r="G464" s="22" t="n">
        <x:v>418</x:v>
      </x:c>
      <x:c r="H464" t="n">
        <x:v>3</x:v>
      </x:c>
    </x:row>
    <x:row r="465">
      <x:c r="A465" t="str">
        <x:v>TT-US-09</x:v>
      </x:c>
      <x:c r="B465" t="n">
        <x:v>14</x:v>
      </x:c>
      <x:c r="C465" t="str">
        <x:v>New York/New Jersey</x:v>
      </x:c>
      <x:c r="D465" t="str">
        <x:v>Columbus</x:v>
      </x:c>
      <x:c r="E465" t="str">
        <x:v>rail</x:v>
      </x:c>
      <x:c r="F465" s="22" t="n">
        <x:v>374</x:v>
      </x:c>
      <x:c r="G465" s="22" t="n">
        <x:v>446</x:v>
      </x:c>
      <x:c r="H465" t="n">
        <x:v>3</x:v>
      </x:c>
    </x:row>
    <x:row r="466">
      <x:c r="A466" t="str">
        <x:v>TT-US-09</x:v>
      </x:c>
      <x:c r="B466" t="n">
        <x:v>15</x:v>
      </x:c>
      <x:c r="C466" t="str">
        <x:v>New York/New Jersey</x:v>
      </x:c>
      <x:c r="D466" t="str">
        <x:v>Columbus</x:v>
      </x:c>
      <x:c r="E466" t="str">
        <x:v>rail</x:v>
      </x:c>
      <x:c r="F466" s="22" t="n">
        <x:v>402</x:v>
      </x:c>
      <x:c r="G466" s="22" t="n">
        <x:v>474</x:v>
      </x:c>
      <x:c r="H466" t="n">
        <x:v>3</x:v>
      </x:c>
    </x:row>
    <x:row r="467">
      <x:c r="A467" t="str">
        <x:v>TT-US-09</x:v>
      </x:c>
      <x:c r="B467" t="n">
        <x:v>16</x:v>
      </x:c>
      <x:c r="C467" t="str">
        <x:v>New York/New Jersey</x:v>
      </x:c>
      <x:c r="D467" t="str">
        <x:v>Columbus</x:v>
      </x:c>
      <x:c r="E467" t="str">
        <x:v>rail</x:v>
      </x:c>
      <x:c r="F467" s="22" t="n">
        <x:v>430</x:v>
      </x:c>
      <x:c r="G467" s="22" t="n">
        <x:v>502</x:v>
      </x:c>
      <x:c r="H467" t="n">
        <x:v>3</x:v>
      </x:c>
    </x:row>
    <x:row r="468">
      <x:c r="A468" t="str">
        <x:v>TT-US-09</x:v>
      </x:c>
      <x:c r="B468" t="n">
        <x:v>17</x:v>
      </x:c>
      <x:c r="C468" t="str">
        <x:v>New York/New Jersey</x:v>
      </x:c>
      <x:c r="D468" t="str">
        <x:v>Columbus</x:v>
      </x:c>
      <x:c r="E468" t="str">
        <x:v>rail</x:v>
      </x:c>
      <x:c r="F468" s="22" t="n">
        <x:v>458</x:v>
      </x:c>
      <x:c r="G468" s="22" t="n">
        <x:v>530</x:v>
      </x:c>
      <x:c r="H468" t="n">
        <x:v>3</x:v>
      </x:c>
    </x:row>
    <x:row r="469">
      <x:c r="A469" t="str">
        <x:v>TT-US-09</x:v>
      </x:c>
      <x:c r="B469" t="n">
        <x:v>18</x:v>
      </x:c>
      <x:c r="C469" t="str">
        <x:v>New York/New Jersey</x:v>
      </x:c>
      <x:c r="D469" t="str">
        <x:v>Columbus</x:v>
      </x:c>
      <x:c r="E469" t="str">
        <x:v>rail</x:v>
      </x:c>
      <x:c r="F469" s="22" t="n">
        <x:v>486</x:v>
      </x:c>
      <x:c r="G469" s="22" t="n">
        <x:v>558</x:v>
      </x:c>
      <x:c r="H469" t="n">
        <x:v>3</x:v>
      </x:c>
    </x:row>
    <x:row r="470">
      <x:c r="A470" t="str">
        <x:v>TT-US-09</x:v>
      </x:c>
      <x:c r="B470" t="n">
        <x:v>19</x:v>
      </x:c>
      <x:c r="C470" t="str">
        <x:v>New York/New Jersey</x:v>
      </x:c>
      <x:c r="D470" t="str">
        <x:v>Columbus</x:v>
      </x:c>
      <x:c r="E470" t="str">
        <x:v>rail</x:v>
      </x:c>
      <x:c r="F470" s="22" t="n">
        <x:v>514</x:v>
      </x:c>
      <x:c r="G470" s="22" t="n">
        <x:v>586</x:v>
      </x:c>
      <x:c r="H470" t="n">
        <x:v>4</x:v>
      </x:c>
    </x:row>
    <x:row r="471">
      <x:c r="A471" t="str">
        <x:v>TT-US-09</x:v>
      </x:c>
      <x:c r="B471" t="n">
        <x:v>20</x:v>
      </x:c>
      <x:c r="C471" t="str">
        <x:v>New York/New Jersey</x:v>
      </x:c>
      <x:c r="D471" t="str">
        <x:v>Columbus</x:v>
      </x:c>
      <x:c r="E471" t="str">
        <x:v>rail</x:v>
      </x:c>
      <x:c r="F471" s="22" t="n">
        <x:v>542</x:v>
      </x:c>
      <x:c r="G471" s="22" t="n">
        <x:v>614</x:v>
      </x:c>
      <x:c r="H471" t="n">
        <x:v>4</x:v>
      </x:c>
    </x:row>
    <x:row r="472">
      <x:c r="A472" t="str">
        <x:v>TT-US-09</x:v>
      </x:c>
      <x:c r="B472" t="n">
        <x:v>21</x:v>
      </x:c>
      <x:c r="C472" t="str">
        <x:v>New York/New Jersey</x:v>
      </x:c>
      <x:c r="D472" t="str">
        <x:v>Columbus</x:v>
      </x:c>
      <x:c r="E472" t="str">
        <x:v>rail</x:v>
      </x:c>
      <x:c r="F472" s="22" t="n">
        <x:v>570</x:v>
      </x:c>
      <x:c r="G472" s="22" t="n">
        <x:v>642</x:v>
      </x:c>
      <x:c r="H472" t="n">
        <x:v>4</x:v>
      </x:c>
    </x:row>
    <x:row r="473">
      <x:c r="A473" t="str">
        <x:v>TT-US-09</x:v>
      </x:c>
      <x:c r="B473" t="n">
        <x:v>22</x:v>
      </x:c>
      <x:c r="C473" t="str">
        <x:v>New York/New Jersey</x:v>
      </x:c>
      <x:c r="D473" t="str">
        <x:v>Columbus</x:v>
      </x:c>
      <x:c r="E473" t="str">
        <x:v>rail</x:v>
      </x:c>
      <x:c r="F473" s="22" t="n">
        <x:v>598</x:v>
      </x:c>
      <x:c r="G473" s="22" t="n">
        <x:v>670</x:v>
      </x:c>
      <x:c r="H473" t="n">
        <x:v>4</x:v>
      </x:c>
    </x:row>
    <x:row r="474">
      <x:c r="A474" t="str">
        <x:v>TT-US-09</x:v>
      </x:c>
      <x:c r="B474" t="n">
        <x:v>23</x:v>
      </x:c>
      <x:c r="C474" t="str">
        <x:v>New York/New Jersey</x:v>
      </x:c>
      <x:c r="D474" t="str">
        <x:v>Columbus</x:v>
      </x:c>
      <x:c r="E474" t="str">
        <x:v>rail</x:v>
      </x:c>
      <x:c r="F474" s="22" t="n">
        <x:v>626</x:v>
      </x:c>
      <x:c r="G474" s="22" t="n">
        <x:v>698</x:v>
      </x:c>
      <x:c r="H474" t="n">
        <x:v>4</x:v>
      </x:c>
    </x:row>
    <x:row r="475">
      <x:c r="A475" t="str">
        <x:v>TT-US-09</x:v>
      </x:c>
      <x:c r="B475" t="n">
        <x:v>24</x:v>
      </x:c>
      <x:c r="C475" t="str">
        <x:v>New York/New Jersey</x:v>
      </x:c>
      <x:c r="D475" t="str">
        <x:v>Columbus</x:v>
      </x:c>
      <x:c r="E475" t="str">
        <x:v>rail</x:v>
      </x:c>
      <x:c r="F475" s="22" t="n">
        <x:v>654</x:v>
      </x:c>
      <x:c r="G475" s="22" t="n">
        <x:v>726</x:v>
      </x:c>
      <x:c r="H475" t="n">
        <x:v>4</x:v>
      </x:c>
    </x:row>
    <x:row r="476">
      <x:c r="A476" t="str">
        <x:v>TT-US-09</x:v>
      </x:c>
      <x:c r="B476" t="n">
        <x:v>25</x:v>
      </x:c>
      <x:c r="C476" t="str">
        <x:v>New York/New Jersey</x:v>
      </x:c>
      <x:c r="D476" t="str">
        <x:v>Columbus</x:v>
      </x:c>
      <x:c r="E476" t="str">
        <x:v>rail</x:v>
      </x:c>
      <x:c r="F476" s="22" t="n">
        <x:v>682</x:v>
      </x:c>
      <x:c r="G476" s="22" t="n">
        <x:v>754</x:v>
      </x:c>
      <x:c r="H476" t="n">
        <x:v>5</x:v>
      </x:c>
    </x:row>
    <x:row r="477">
      <x:c r="A477" t="str">
        <x:v>TT-US-09</x:v>
      </x:c>
      <x:c r="B477" t="n">
        <x:v>26</x:v>
      </x:c>
      <x:c r="C477" t="str">
        <x:v>New York/New Jersey</x:v>
      </x:c>
      <x:c r="D477" t="str">
        <x:v>Columbus</x:v>
      </x:c>
      <x:c r="E477" t="str">
        <x:v>rail</x:v>
      </x:c>
      <x:c r="F477" s="22" t="n">
        <x:v>710</x:v>
      </x:c>
      <x:c r="G477" s="22" t="n">
        <x:v>782</x:v>
      </x:c>
      <x:c r="H477" t="n">
        <x:v>5</x:v>
      </x:c>
    </x:row>
    <x:row r="478">
      <x:c r="A478" t="str">
        <x:v>TT-US-09</x:v>
      </x:c>
      <x:c r="B478" t="n">
        <x:v>27</x:v>
      </x:c>
      <x:c r="C478" t="str">
        <x:v>New York/New Jersey</x:v>
      </x:c>
      <x:c r="D478" t="str">
        <x:v>Columbus</x:v>
      </x:c>
      <x:c r="E478" t="str">
        <x:v>rail</x:v>
      </x:c>
      <x:c r="F478" s="22" t="n">
        <x:v>738</x:v>
      </x:c>
      <x:c r="G478" s="22" t="n">
        <x:v>810</x:v>
      </x:c>
      <x:c r="H478" t="n">
        <x:v>5</x:v>
      </x:c>
    </x:row>
    <x:row r="479">
      <x:c r="A479" t="str">
        <x:v>TT-US-09</x:v>
      </x:c>
      <x:c r="B479" t="n">
        <x:v>28</x:v>
      </x:c>
      <x:c r="C479" t="str">
        <x:v>New York/New Jersey</x:v>
      </x:c>
      <x:c r="D479" t="str">
        <x:v>Columbus</x:v>
      </x:c>
      <x:c r="E479" t="str">
        <x:v>rail</x:v>
      </x:c>
      <x:c r="F479" s="22" t="n">
        <x:v>766</x:v>
      </x:c>
      <x:c r="G479" s="22" t="n">
        <x:v>838</x:v>
      </x:c>
      <x:c r="H479" t="n">
        <x:v>5</x:v>
      </x:c>
    </x:row>
    <x:row r="480">
      <x:c r="A480" t="str">
        <x:v>TT-US-09</x:v>
      </x:c>
      <x:c r="B480" t="n">
        <x:v>29</x:v>
      </x:c>
      <x:c r="C480" t="str">
        <x:v>New York/New Jersey</x:v>
      </x:c>
      <x:c r="D480" t="str">
        <x:v>Columbus</x:v>
      </x:c>
      <x:c r="E480" t="str">
        <x:v>rail</x:v>
      </x:c>
      <x:c r="F480" s="22" t="n">
        <x:v>794</x:v>
      </x:c>
      <x:c r="G480" s="22" t="n">
        <x:v>866</x:v>
      </x:c>
      <x:c r="H480" t="n">
        <x:v>5</x:v>
      </x:c>
    </x:row>
    <x:row r="481">
      <x:c r="A481" t="str">
        <x:v>TT-US-09</x:v>
      </x:c>
      <x:c r="B481" t="n">
        <x:v>30</x:v>
      </x:c>
      <x:c r="C481" t="str">
        <x:v>New York/New Jersey</x:v>
      </x:c>
      <x:c r="D481" t="str">
        <x:v>Columbus</x:v>
      </x:c>
      <x:c r="E481" t="str">
        <x:v>rail</x:v>
      </x:c>
      <x:c r="F481" s="22" t="n">
        <x:v>822</x:v>
      </x:c>
      <x:c r="G481" s="22" t="n">
        <x:v>894</x:v>
      </x:c>
      <x:c r="H481" t="n">
        <x:v>5</x:v>
      </x:c>
    </x:row>
    <x:row r="482">
      <x:c r="A482" t="str">
        <x:v>TT-US-09</x:v>
      </x:c>
      <x:c r="B482" t="n">
        <x:v>31</x:v>
      </x:c>
      <x:c r="C482" t="str">
        <x:v>New York/New Jersey</x:v>
      </x:c>
      <x:c r="D482" t="str">
        <x:v>Columbus</x:v>
      </x:c>
      <x:c r="E482" t="str">
        <x:v>rail</x:v>
      </x:c>
      <x:c r="F482" s="22" t="n">
        <x:v>850</x:v>
      </x:c>
      <x:c r="G482" s="22" t="n">
        <x:v>922</x:v>
      </x:c>
      <x:c r="H482" t="n">
        <x:v>6</x:v>
      </x:c>
    </x:row>
    <x:row r="483">
      <x:c r="A483" t="str">
        <x:v>TT-US-09</x:v>
      </x:c>
      <x:c r="B483" t="n">
        <x:v>32</x:v>
      </x:c>
      <x:c r="C483" t="str">
        <x:v>New York/New Jersey</x:v>
      </x:c>
      <x:c r="D483" t="str">
        <x:v>Columbus</x:v>
      </x:c>
      <x:c r="E483" t="str">
        <x:v>rail</x:v>
      </x:c>
      <x:c r="F483" s="22" t="n">
        <x:v>878</x:v>
      </x:c>
      <x:c r="G483" s="22" t="n">
        <x:v>950</x:v>
      </x:c>
      <x:c r="H483" t="n">
        <x:v>6</x:v>
      </x:c>
    </x:row>
    <x:row r="484">
      <x:c r="A484" t="str">
        <x:v>TT-US-09</x:v>
      </x:c>
      <x:c r="B484" t="n">
        <x:v>33</x:v>
      </x:c>
      <x:c r="C484" t="str">
        <x:v>New York/New Jersey</x:v>
      </x:c>
      <x:c r="D484" t="str">
        <x:v>Columbus</x:v>
      </x:c>
      <x:c r="E484" t="str">
        <x:v>rail</x:v>
      </x:c>
      <x:c r="F484" s="22" t="n">
        <x:v>906</x:v>
      </x:c>
      <x:c r="G484" s="22" t="n">
        <x:v>978</x:v>
      </x:c>
      <x:c r="H484" t="n">
        <x:v>6</x:v>
      </x:c>
    </x:row>
    <x:row r="485">
      <x:c r="A485" t="str">
        <x:v>TT-US-09</x:v>
      </x:c>
      <x:c r="B485" t="n">
        <x:v>34</x:v>
      </x:c>
      <x:c r="C485" t="str">
        <x:v>New York/New Jersey</x:v>
      </x:c>
      <x:c r="D485" t="str">
        <x:v>Columbus</x:v>
      </x:c>
      <x:c r="E485" t="str">
        <x:v>rail</x:v>
      </x:c>
      <x:c r="F485" s="22" t="n">
        <x:v>934</x:v>
      </x:c>
      <x:c r="G485" s="22" t="n">
        <x:v>1006</x:v>
      </x:c>
      <x:c r="H485" t="n">
        <x:v>6</x:v>
      </x:c>
    </x:row>
    <x:row r="486">
      <x:c r="A486" t="str">
        <x:v>TT-US-09</x:v>
      </x:c>
      <x:c r="B486" t="n">
        <x:v>35</x:v>
      </x:c>
      <x:c r="C486" t="str">
        <x:v>New York/New Jersey</x:v>
      </x:c>
      <x:c r="D486" t="str">
        <x:v>Columbus</x:v>
      </x:c>
      <x:c r="E486" t="str">
        <x:v>rail</x:v>
      </x:c>
      <x:c r="F486" s="22" t="n">
        <x:v>962</x:v>
      </x:c>
      <x:c r="G486" s="22" t="n">
        <x:v>1034</x:v>
      </x:c>
      <x:c r="H486" t="n">
        <x:v>6</x:v>
      </x:c>
    </x:row>
    <x:row r="487">
      <x:c r="A487" t="str">
        <x:v>TT-US-09</x:v>
      </x:c>
      <x:c r="B487" t="n">
        <x:v>36</x:v>
      </x:c>
      <x:c r="C487" t="str">
        <x:v>New York/New Jersey</x:v>
      </x:c>
      <x:c r="D487" t="str">
        <x:v>Columbus</x:v>
      </x:c>
      <x:c r="E487" t="str">
        <x:v>rail</x:v>
      </x:c>
      <x:c r="F487" s="22" t="n">
        <x:v>990</x:v>
      </x:c>
      <x:c r="G487" s="22" t="n">
        <x:v>1062</x:v>
      </x:c>
      <x:c r="H487" t="n">
        <x:v>6</x:v>
      </x:c>
    </x:row>
    <x:row r="488">
      <x:c r="A488" t="str">
        <x:v>TT-US-09</x:v>
      </x:c>
      <x:c r="B488" t="n">
        <x:v>37</x:v>
      </x:c>
      <x:c r="C488" t="str">
        <x:v>New York/New Jersey</x:v>
      </x:c>
      <x:c r="D488" t="str">
        <x:v>Columbus</x:v>
      </x:c>
      <x:c r="E488" t="str">
        <x:v>rail</x:v>
      </x:c>
      <x:c r="F488" s="22" t="n">
        <x:v>1018</x:v>
      </x:c>
      <x:c r="G488" s="22" t="n">
        <x:v>1090</x:v>
      </x:c>
      <x:c r="H488" t="n">
        <x:v>7</x:v>
      </x:c>
    </x:row>
    <x:row r="489">
      <x:c r="A489" t="str">
        <x:v>TT-US-09</x:v>
      </x:c>
      <x:c r="B489" t="n">
        <x:v>38</x:v>
      </x:c>
      <x:c r="C489" t="str">
        <x:v>New York/New Jersey</x:v>
      </x:c>
      <x:c r="D489" t="str">
        <x:v>Columbus</x:v>
      </x:c>
      <x:c r="E489" t="str">
        <x:v>rail</x:v>
      </x:c>
      <x:c r="F489" s="22" t="n">
        <x:v>1046</x:v>
      </x:c>
      <x:c r="G489" s="22" t="n">
        <x:v>1118</x:v>
      </x:c>
      <x:c r="H489" t="n">
        <x:v>7</x:v>
      </x:c>
    </x:row>
    <x:row r="490">
      <x:c r="A490" t="str">
        <x:v>TT-US-09</x:v>
      </x:c>
      <x:c r="B490" t="n">
        <x:v>39</x:v>
      </x:c>
      <x:c r="C490" t="str">
        <x:v>New York/New Jersey</x:v>
      </x:c>
      <x:c r="D490" t="str">
        <x:v>Columbus</x:v>
      </x:c>
      <x:c r="E490" t="str">
        <x:v>rail</x:v>
      </x:c>
      <x:c r="F490" s="22" t="n">
        <x:v>1074</x:v>
      </x:c>
      <x:c r="G490" s="22" t="n">
        <x:v>1146</x:v>
      </x:c>
      <x:c r="H490" t="n">
        <x:v>7</x:v>
      </x:c>
    </x:row>
    <x:row r="491">
      <x:c r="A491" t="str">
        <x:v>TT-US-09</x:v>
      </x:c>
      <x:c r="B491" t="n">
        <x:v>40</x:v>
      </x:c>
      <x:c r="C491" t="str">
        <x:v>New York/New Jersey</x:v>
      </x:c>
      <x:c r="D491" t="str">
        <x:v>Columbus</x:v>
      </x:c>
      <x:c r="E491" t="str">
        <x:v>rail</x:v>
      </x:c>
      <x:c r="F491" s="22" t="n">
        <x:v>1102</x:v>
      </x:c>
      <x:c r="G491" s="22" t="n">
        <x:v>1174</x:v>
      </x:c>
      <x:c r="H491" t="n">
        <x:v>7</x:v>
      </x:c>
    </x:row>
    <x:row r="492">
      <x:c r="A492" t="str">
        <x:v>TT-US-09</x:v>
      </x:c>
      <x:c r="B492" t="n">
        <x:v>41</x:v>
      </x:c>
      <x:c r="C492" t="str">
        <x:v>New York/New Jersey</x:v>
      </x:c>
      <x:c r="D492" t="str">
        <x:v>Columbus</x:v>
      </x:c>
      <x:c r="E492" t="str">
        <x:v>rail</x:v>
      </x:c>
      <x:c r="F492" s="22" t="n">
        <x:v>1130</x:v>
      </x:c>
      <x:c r="G492" s="22" t="n">
        <x:v>1202</x:v>
      </x:c>
      <x:c r="H492" t="n">
        <x:v>7</x:v>
      </x:c>
    </x:row>
    <x:row r="493">
      <x:c r="A493" t="str">
        <x:v>TT-US-09</x:v>
      </x:c>
      <x:c r="B493" t="n">
        <x:v>42</x:v>
      </x:c>
      <x:c r="C493" t="str">
        <x:v>New York/New Jersey</x:v>
      </x:c>
      <x:c r="D493" t="str">
        <x:v>Columbus</x:v>
      </x:c>
      <x:c r="E493" t="str">
        <x:v>rail</x:v>
      </x:c>
      <x:c r="F493" s="22" t="n">
        <x:v>1158</x:v>
      </x:c>
      <x:c r="G493" s="22" t="n">
        <x:v>1230</x:v>
      </x:c>
      <x:c r="H493" t="n">
        <x:v>7</x:v>
      </x:c>
    </x:row>
    <x:row r="494">
      <x:c r="A494" t="str">
        <x:v>TT-US-09</x:v>
      </x:c>
      <x:c r="B494" t="n">
        <x:v>43</x:v>
      </x:c>
      <x:c r="C494" t="str">
        <x:v>New York/New Jersey</x:v>
      </x:c>
      <x:c r="D494" t="str">
        <x:v>Columbus</x:v>
      </x:c>
      <x:c r="E494" t="str">
        <x:v>rail</x:v>
      </x:c>
      <x:c r="F494" s="22" t="n">
        <x:v>1186</x:v>
      </x:c>
      <x:c r="G494" s="22" t="n">
        <x:v>1258</x:v>
      </x:c>
      <x:c r="H494" t="n">
        <x:v>8</x:v>
      </x:c>
    </x:row>
    <x:row r="495">
      <x:c r="A495" t="str">
        <x:v>TT-US-09</x:v>
      </x:c>
      <x:c r="B495" t="n">
        <x:v>44</x:v>
      </x:c>
      <x:c r="C495" t="str">
        <x:v>New York/New Jersey</x:v>
      </x:c>
      <x:c r="D495" t="str">
        <x:v>Columbus</x:v>
      </x:c>
      <x:c r="E495" t="str">
        <x:v>rail</x:v>
      </x:c>
      <x:c r="F495" s="22" t="n">
        <x:v>1214</x:v>
      </x:c>
      <x:c r="G495" s="22" t="n">
        <x:v>1286</x:v>
      </x:c>
      <x:c r="H495" t="n">
        <x:v>8</x:v>
      </x:c>
    </x:row>
    <x:row r="496">
      <x:c r="A496" t="str">
        <x:v>TT-US-09</x:v>
      </x:c>
      <x:c r="B496" t="n">
        <x:v>45</x:v>
      </x:c>
      <x:c r="C496" t="str">
        <x:v>New York/New Jersey</x:v>
      </x:c>
      <x:c r="D496" t="str">
        <x:v>Columbus</x:v>
      </x:c>
      <x:c r="E496" t="str">
        <x:v>rail</x:v>
      </x:c>
      <x:c r="F496" s="22" t="n">
        <x:v>1242</x:v>
      </x:c>
      <x:c r="G496" s="22" t="n">
        <x:v>1314</x:v>
      </x:c>
      <x:c r="H496" t="n">
        <x:v>8</x:v>
      </x:c>
    </x:row>
    <x:row r="497">
      <x:c r="A497" t="str">
        <x:v>TT-US-09</x:v>
      </x:c>
      <x:c r="B497" t="n">
        <x:v>46</x:v>
      </x:c>
      <x:c r="C497" t="str">
        <x:v>New York/New Jersey</x:v>
      </x:c>
      <x:c r="D497" t="str">
        <x:v>Columbus</x:v>
      </x:c>
      <x:c r="E497" t="str">
        <x:v>rail</x:v>
      </x:c>
      <x:c r="F497" s="22" t="n">
        <x:v>1270</x:v>
      </x:c>
      <x:c r="G497" s="22" t="n">
        <x:v>1342</x:v>
      </x:c>
      <x:c r="H497" t="n">
        <x:v>8</x:v>
      </x:c>
    </x:row>
    <x:row r="498">
      <x:c r="A498" t="str">
        <x:v>TT-US-09</x:v>
      </x:c>
      <x:c r="B498" t="n">
        <x:v>47</x:v>
      </x:c>
      <x:c r="C498" t="str">
        <x:v>New York/New Jersey</x:v>
      </x:c>
      <x:c r="D498" t="str">
        <x:v>Columbus</x:v>
      </x:c>
      <x:c r="E498" t="str">
        <x:v>rail</x:v>
      </x:c>
      <x:c r="F498" s="22" t="n">
        <x:v>1298</x:v>
      </x:c>
      <x:c r="G498" s="22" t="n">
        <x:v>1370</x:v>
      </x:c>
      <x:c r="H498" t="n">
        <x:v>8</x:v>
      </x:c>
    </x:row>
    <x:row r="499">
      <x:c r="A499" t="str">
        <x:v>TT-US-09</x:v>
      </x:c>
      <x:c r="B499" t="n">
        <x:v>48</x:v>
      </x:c>
      <x:c r="C499" t="str">
        <x:v>New York/New Jersey</x:v>
      </x:c>
      <x:c r="D499" t="str">
        <x:v>Columbus</x:v>
      </x:c>
      <x:c r="E499" t="str">
        <x:v>rail</x:v>
      </x:c>
      <x:c r="F499" s="22" t="n">
        <x:v>1326</x:v>
      </x:c>
      <x:c r="G499" s="22" t="n">
        <x:v>1398</x:v>
      </x:c>
      <x:c r="H499" t="n">
        <x:v>8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baf6c13201e423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2" hidden="0" customWidth="1"/>
    <x:col min="4" max="4" width="12" hidden="0" customWidth="1"/>
    <x:col min="5" max="5" width="24" hidden="0" customWidth="1"/>
    <x:col min="6" max="6" width="16" hidden="0" customWidth="1"/>
    <x:col min="7" max="7" width="24" hidden="0" customWidth="1"/>
    <x:col min="8" max="8" width="58" hidden="0" customWidth="1"/>
  </x:cols>
  <x:sheetData>
    <x:row r="1">
      <x:c r="A1" s="46" t="str">
        <x:v>Transshipment Parameters</x:v>
      </x:c>
      <x:c r="B1" s="46"/>
      <x:c r="C1" s="46"/>
      <x:c r="D1" s="46"/>
      <x:c r="E1" s="46"/>
      <x:c r="F1" s="46"/>
      <x:c r="G1" s="46"/>
      <x:c r="H1" s="46"/>
    </x:row>
    <x:row r="3">
      <x:c r="A3" s="51" t="str">
        <x:v>Node</x:v>
      </x:c>
      <x:c r="B3" s="51" t="str">
        <x:v>NodeType</x:v>
      </x:c>
      <x:c r="C3" s="51" t="str">
        <x:v>FromMode</x:v>
      </x:c>
      <x:c r="D3" s="51" t="str">
        <x:v>ToMode</x:v>
      </x:c>
      <x:c r="E3" s="51" t="str">
        <x:v>TransferCost_USD_per_TEU</x:v>
      </x:c>
      <x:c r="F3" s="51" t="str">
        <x:v>TransferTime_h</x:v>
      </x:c>
      <x:c r="G3" s="51" t="str">
        <x:v>DataStatus</x:v>
      </x:c>
      <x:c r="H3" s="51" t="str">
        <x:v>Notes</x:v>
      </x:c>
    </x:row>
    <x:row r="4">
      <x:c r="A4" s="34" t="str">
        <x:v>Xi'an</x:v>
      </x:c>
      <x:c r="B4" s="34" t="str">
        <x:v>inland_terminal</x:v>
      </x:c>
      <x:c r="C4" s="34" t="str">
        <x:v>rail</x:v>
      </x:c>
      <x:c r="D4" s="34" t="str">
        <x:v>road</x:v>
      </x:c>
      <x:c r="E4" s="34" t="n">
        <x:v>75</x:v>
      </x:c>
      <x:c r="F4" s="34" t="n">
        <x:v>3</x:v>
      </x:c>
      <x:c r="G4" s="34" t="str">
        <x:v>Model parameter</x:v>
      </x:c>
      <x:c r="H4" s="34" t="str">
        <x:v>Inherited structure; lower inland transfer cost</x:v>
      </x:c>
    </x:row>
    <x:row r="5">
      <x:c r="A5" s="34" t="str">
        <x:v>Xi'an</x:v>
      </x:c>
      <x:c r="B5" s="34" t="str">
        <x:v>inland_terminal</x:v>
      </x:c>
      <x:c r="C5" s="34" t="str">
        <x:v>road</x:v>
      </x:c>
      <x:c r="D5" s="34" t="str">
        <x:v>rail</x:v>
      </x:c>
      <x:c r="E5" s="34" t="n">
        <x:v>75</x:v>
      </x:c>
      <x:c r="F5" s="34" t="n">
        <x:v>3</x:v>
      </x:c>
      <x:c r="G5" s="34" t="str">
        <x:v>Model parameter</x:v>
      </x:c>
      <x:c r="H5" s="34" t="str">
        <x:v>Inherited structure; lower inland transfer cost</x:v>
      </x:c>
    </x:row>
    <x:row r="6">
      <x:c r="A6" s="34" t="str">
        <x:v>Shanghai</x:v>
      </x:c>
      <x:c r="B6" s="34" t="str">
        <x:v>port</x:v>
      </x:c>
      <x:c r="C6" s="34" t="str">
        <x:v>road</x:v>
      </x:c>
      <x:c r="D6" s="34" t="str">
        <x:v>water</x:v>
      </x:c>
      <x:c r="E6" s="34" t="n">
        <x:v>125</x:v>
      </x:c>
      <x:c r="F6" s="34" t="n">
        <x:v>12</x:v>
      </x:c>
      <x:c r="G6" s="34" t="str">
        <x:v>Average handling baseline</x:v>
      </x:c>
      <x:c r="H6" s="34" t="str">
        <x:v>$250/container average converted to $125/TEU; 12 h processing, timetable waiting calculated separately</x:v>
      </x:c>
    </x:row>
    <x:row r="7">
      <x:c r="A7" s="34" t="str">
        <x:v>Shanghai</x:v>
      </x:c>
      <x:c r="B7" s="34" t="str">
        <x:v>port</x:v>
      </x:c>
      <x:c r="C7" s="34" t="str">
        <x:v>water</x:v>
      </x:c>
      <x:c r="D7" s="34" t="str">
        <x:v>road</x:v>
      </x:c>
      <x:c r="E7" s="34" t="n">
        <x:v>125</x:v>
      </x:c>
      <x:c r="F7" s="34" t="n">
        <x:v>12</x:v>
      </x:c>
      <x:c r="G7" s="34" t="str">
        <x:v>Average handling baseline</x:v>
      </x:c>
      <x:c r="H7" s="34" t="str">
        <x:v>$250/container average converted to $125/TEU; 12 h processing, timetable waiting calculated separately</x:v>
      </x:c>
    </x:row>
    <x:row r="8">
      <x:c r="A8" s="34" t="str">
        <x:v>Shanghai</x:v>
      </x:c>
      <x:c r="B8" s="34" t="str">
        <x:v>port</x:v>
      </x:c>
      <x:c r="C8" s="34" t="str">
        <x:v>rail</x:v>
      </x:c>
      <x:c r="D8" s="34" t="str">
        <x:v>water</x:v>
      </x:c>
      <x:c r="E8" s="34" t="n">
        <x:v>125</x:v>
      </x:c>
      <x:c r="F8" s="34" t="n">
        <x:v>12</x:v>
      </x:c>
      <x:c r="G8" s="34" t="str">
        <x:v>Average handling baseline</x:v>
      </x:c>
      <x:c r="H8" s="34" t="str">
        <x:v>$250/container average converted to $125/TEU; 12 h processing, timetable waiting calculated separately</x:v>
      </x:c>
    </x:row>
    <x:row r="9">
      <x:c r="A9" s="34" t="str">
        <x:v>Shanghai</x:v>
      </x:c>
      <x:c r="B9" s="34" t="str">
        <x:v>port</x:v>
      </x:c>
      <x:c r="C9" s="34" t="str">
        <x:v>water</x:v>
      </x:c>
      <x:c r="D9" s="34" t="str">
        <x:v>rail</x:v>
      </x:c>
      <x:c r="E9" s="34" t="n">
        <x:v>125</x:v>
      </x:c>
      <x:c r="F9" s="34" t="n">
        <x:v>12</x:v>
      </x:c>
      <x:c r="G9" s="34" t="str">
        <x:v>Average handling baseline</x:v>
      </x:c>
      <x:c r="H9" s="34" t="str">
        <x:v>$250/container average converted to $125/TEU; 12 h processing, timetable waiting calculated separately</x:v>
      </x:c>
    </x:row>
    <x:row r="10">
      <x:c r="A10" s="34" t="str">
        <x:v>Shanghai</x:v>
      </x:c>
      <x:c r="B10" s="34" t="str">
        <x:v>port</x:v>
      </x:c>
      <x:c r="C10" s="34" t="str">
        <x:v>road</x:v>
      </x:c>
      <x:c r="D10" s="34" t="str">
        <x:v>rail</x:v>
      </x:c>
      <x:c r="E10" s="34" t="n">
        <x:v>125</x:v>
      </x:c>
      <x:c r="F10" s="34" t="n">
        <x:v>12</x:v>
      </x:c>
      <x:c r="G10" s="34" t="str">
        <x:v>Average handling baseline</x:v>
      </x:c>
      <x:c r="H10" s="34" t="str">
        <x:v>$250/container average converted to $125/TEU; 12 h processing, timetable waiting calculated separately</x:v>
      </x:c>
    </x:row>
    <x:row r="11">
      <x:c r="A11" s="34" t="str">
        <x:v>Shanghai</x:v>
      </x:c>
      <x:c r="B11" s="34" t="str">
        <x:v>port</x:v>
      </x:c>
      <x:c r="C11" s="34" t="str">
        <x:v>rail</x:v>
      </x:c>
      <x:c r="D11" s="34" t="str">
        <x:v>road</x:v>
      </x:c>
      <x:c r="E11" s="34" t="n">
        <x:v>125</x:v>
      </x:c>
      <x:c r="F11" s="34" t="n">
        <x:v>12</x:v>
      </x:c>
      <x:c r="G11" s="34" t="str">
        <x:v>Average handling baseline</x:v>
      </x:c>
      <x:c r="H11" s="34" t="str">
        <x:v>$250/container average converted to $125/TEU; 12 h processing, timetable waiting calculated separately</x:v>
      </x:c>
    </x:row>
    <x:row r="12">
      <x:c r="A12" s="34" t="str">
        <x:v>Ningbo</x:v>
      </x:c>
      <x:c r="B12" s="34" t="str">
        <x:v>port</x:v>
      </x:c>
      <x:c r="C12" s="34" t="str">
        <x:v>road</x:v>
      </x:c>
      <x:c r="D12" s="34" t="str">
        <x:v>water</x:v>
      </x:c>
      <x:c r="E12" s="34" t="n">
        <x:v>125</x:v>
      </x:c>
      <x:c r="F12" s="34" t="n">
        <x:v>12</x:v>
      </x:c>
      <x:c r="G12" s="34" t="str">
        <x:v>Average handling baseline</x:v>
      </x:c>
      <x:c r="H12" s="34" t="str">
        <x:v>$250/container average converted to $125/TEU; 12 h processing, timetable waiting calculated separately</x:v>
      </x:c>
    </x:row>
    <x:row r="13">
      <x:c r="A13" s="34" t="str">
        <x:v>Ningbo</x:v>
      </x:c>
      <x:c r="B13" s="34" t="str">
        <x:v>port</x:v>
      </x:c>
      <x:c r="C13" s="34" t="str">
        <x:v>water</x:v>
      </x:c>
      <x:c r="D13" s="34" t="str">
        <x:v>road</x:v>
      </x:c>
      <x:c r="E13" s="34" t="n">
        <x:v>125</x:v>
      </x:c>
      <x:c r="F13" s="34" t="n">
        <x:v>12</x:v>
      </x:c>
      <x:c r="G13" s="34" t="str">
        <x:v>Average handling baseline</x:v>
      </x:c>
      <x:c r="H13" s="34" t="str">
        <x:v>$250/container average converted to $125/TEU; 12 h processing, timetable waiting calculated separately</x:v>
      </x:c>
    </x:row>
    <x:row r="14">
      <x:c r="A14" s="34" t="str">
        <x:v>Ningbo</x:v>
      </x:c>
      <x:c r="B14" s="34" t="str">
        <x:v>port</x:v>
      </x:c>
      <x:c r="C14" s="34" t="str">
        <x:v>rail</x:v>
      </x:c>
      <x:c r="D14" s="34" t="str">
        <x:v>water</x:v>
      </x:c>
      <x:c r="E14" s="34" t="n">
        <x:v>125</x:v>
      </x:c>
      <x:c r="F14" s="34" t="n">
        <x:v>12</x:v>
      </x:c>
      <x:c r="G14" s="34" t="str">
        <x:v>Average handling baseline</x:v>
      </x:c>
      <x:c r="H14" s="34" t="str">
        <x:v>$250/container average converted to $125/TEU; 12 h processing, timetable waiting calculated separately</x:v>
      </x:c>
    </x:row>
    <x:row r="15">
      <x:c r="A15" s="34" t="str">
        <x:v>Ningbo</x:v>
      </x:c>
      <x:c r="B15" s="34" t="str">
        <x:v>port</x:v>
      </x:c>
      <x:c r="C15" s="34" t="str">
        <x:v>water</x:v>
      </x:c>
      <x:c r="D15" s="34" t="str">
        <x:v>rail</x:v>
      </x:c>
      <x:c r="E15" s="34" t="n">
        <x:v>125</x:v>
      </x:c>
      <x:c r="F15" s="34" t="n">
        <x:v>12</x:v>
      </x:c>
      <x:c r="G15" s="34" t="str">
        <x:v>Average handling baseline</x:v>
      </x:c>
      <x:c r="H15" s="34" t="str">
        <x:v>$250/container average converted to $125/TEU; 12 h processing, timetable waiting calculated separately</x:v>
      </x:c>
    </x:row>
    <x:row r="16">
      <x:c r="A16" s="34" t="str">
        <x:v>Ningbo</x:v>
      </x:c>
      <x:c r="B16" s="34" t="str">
        <x:v>port</x:v>
      </x:c>
      <x:c r="C16" s="34" t="str">
        <x:v>road</x:v>
      </x:c>
      <x:c r="D16" s="34" t="str">
        <x:v>rail</x:v>
      </x:c>
      <x:c r="E16" s="34" t="n">
        <x:v>125</x:v>
      </x:c>
      <x:c r="F16" s="34" t="n">
        <x:v>12</x:v>
      </x:c>
      <x:c r="G16" s="34" t="str">
        <x:v>Average handling baseline</x:v>
      </x:c>
      <x:c r="H16" s="34" t="str">
        <x:v>$250/container average converted to $125/TEU; 12 h processing, timetable waiting calculated separately</x:v>
      </x:c>
    </x:row>
    <x:row r="17">
      <x:c r="A17" s="34" t="str">
        <x:v>Ningbo</x:v>
      </x:c>
      <x:c r="B17" s="34" t="str">
        <x:v>port</x:v>
      </x:c>
      <x:c r="C17" s="34" t="str">
        <x:v>rail</x:v>
      </x:c>
      <x:c r="D17" s="34" t="str">
        <x:v>road</x:v>
      </x:c>
      <x:c r="E17" s="34" t="n">
        <x:v>125</x:v>
      </x:c>
      <x:c r="F17" s="34" t="n">
        <x:v>12</x:v>
      </x:c>
      <x:c r="G17" s="34" t="str">
        <x:v>Average handling baseline</x:v>
      </x:c>
      <x:c r="H17" s="34" t="str">
        <x:v>$250/container average converted to $125/TEU; 12 h processing, timetable waiting calculated separately</x:v>
      </x:c>
    </x:row>
    <x:row r="18">
      <x:c r="A18" s="34" t="str">
        <x:v>Los Angeles/Long Beach</x:v>
      </x:c>
      <x:c r="B18" s="34" t="str">
        <x:v>port</x:v>
      </x:c>
      <x:c r="C18" s="34" t="str">
        <x:v>road</x:v>
      </x:c>
      <x:c r="D18" s="34" t="str">
        <x:v>water</x:v>
      </x:c>
      <x:c r="E18" s="34" t="n">
        <x:v>125</x:v>
      </x:c>
      <x:c r="F18" s="34" t="n">
        <x:v>12</x:v>
      </x:c>
      <x:c r="G18" s="34" t="str">
        <x:v>Average handling baseline</x:v>
      </x:c>
      <x:c r="H18" s="34" t="str">
        <x:v>$250/container average converted to $125/TEU; 12 h processing, timetable waiting calculated separately</x:v>
      </x:c>
    </x:row>
    <x:row r="19">
      <x:c r="A19" s="34" t="str">
        <x:v>Los Angeles/Long Beach</x:v>
      </x:c>
      <x:c r="B19" s="34" t="str">
        <x:v>port</x:v>
      </x:c>
      <x:c r="C19" s="34" t="str">
        <x:v>water</x:v>
      </x:c>
      <x:c r="D19" s="34" t="str">
        <x:v>road</x:v>
      </x:c>
      <x:c r="E19" s="34" t="n">
        <x:v>125</x:v>
      </x:c>
      <x:c r="F19" s="34" t="n">
        <x:v>12</x:v>
      </x:c>
      <x:c r="G19" s="34" t="str">
        <x:v>Average handling baseline</x:v>
      </x:c>
      <x:c r="H19" s="34" t="str">
        <x:v>$250/container average converted to $125/TEU; 12 h processing, timetable waiting calculated separately</x:v>
      </x:c>
    </x:row>
    <x:row r="20">
      <x:c r="A20" s="34" t="str">
        <x:v>Los Angeles/Long Beach</x:v>
      </x:c>
      <x:c r="B20" s="34" t="str">
        <x:v>port</x:v>
      </x:c>
      <x:c r="C20" s="34" t="str">
        <x:v>rail</x:v>
      </x:c>
      <x:c r="D20" s="34" t="str">
        <x:v>water</x:v>
      </x:c>
      <x:c r="E20" s="34" t="n">
        <x:v>125</x:v>
      </x:c>
      <x:c r="F20" s="34" t="n">
        <x:v>12</x:v>
      </x:c>
      <x:c r="G20" s="34" t="str">
        <x:v>Average handling baseline</x:v>
      </x:c>
      <x:c r="H20" s="34" t="str">
        <x:v>$250/container average converted to $125/TEU; 12 h processing, timetable waiting calculated separately</x:v>
      </x:c>
    </x:row>
    <x:row r="21">
      <x:c r="A21" s="34" t="str">
        <x:v>Los Angeles/Long Beach</x:v>
      </x:c>
      <x:c r="B21" s="34" t="str">
        <x:v>port</x:v>
      </x:c>
      <x:c r="C21" s="34" t="str">
        <x:v>water</x:v>
      </x:c>
      <x:c r="D21" s="34" t="str">
        <x:v>rail</x:v>
      </x:c>
      <x:c r="E21" s="34" t="n">
        <x:v>125</x:v>
      </x:c>
      <x:c r="F21" s="34" t="n">
        <x:v>12</x:v>
      </x:c>
      <x:c r="G21" s="34" t="str">
        <x:v>Average handling baseline</x:v>
      </x:c>
      <x:c r="H21" s="34" t="str">
        <x:v>$250/container average converted to $125/TEU; 12 h processing, timetable waiting calculated separately</x:v>
      </x:c>
    </x:row>
    <x:row r="22">
      <x:c r="A22" s="34" t="str">
        <x:v>Los Angeles/Long Beach</x:v>
      </x:c>
      <x:c r="B22" s="34" t="str">
        <x:v>port</x:v>
      </x:c>
      <x:c r="C22" s="34" t="str">
        <x:v>road</x:v>
      </x:c>
      <x:c r="D22" s="34" t="str">
        <x:v>rail</x:v>
      </x:c>
      <x:c r="E22" s="34" t="n">
        <x:v>125</x:v>
      </x:c>
      <x:c r="F22" s="34" t="n">
        <x:v>12</x:v>
      </x:c>
      <x:c r="G22" s="34" t="str">
        <x:v>Average handling baseline</x:v>
      </x:c>
      <x:c r="H22" s="34" t="str">
        <x:v>$250/container average converted to $125/TEU; 12 h processing, timetable waiting calculated separately</x:v>
      </x:c>
    </x:row>
    <x:row r="23">
      <x:c r="A23" s="34" t="str">
        <x:v>Los Angeles/Long Beach</x:v>
      </x:c>
      <x:c r="B23" s="34" t="str">
        <x:v>port</x:v>
      </x:c>
      <x:c r="C23" s="34" t="str">
        <x:v>rail</x:v>
      </x:c>
      <x:c r="D23" s="34" t="str">
        <x:v>road</x:v>
      </x:c>
      <x:c r="E23" s="34" t="n">
        <x:v>125</x:v>
      </x:c>
      <x:c r="F23" s="34" t="n">
        <x:v>12</x:v>
      </x:c>
      <x:c r="G23" s="34" t="str">
        <x:v>Average handling baseline</x:v>
      </x:c>
      <x:c r="H23" s="34" t="str">
        <x:v>$250/container average converted to $125/TEU; 12 h processing, timetable waiting calculated separately</x:v>
      </x:c>
    </x:row>
    <x:row r="24">
      <x:c r="A24" s="34" t="str">
        <x:v>Seattle/Tacoma</x:v>
      </x:c>
      <x:c r="B24" s="34" t="str">
        <x:v>port</x:v>
      </x:c>
      <x:c r="C24" s="34" t="str">
        <x:v>road</x:v>
      </x:c>
      <x:c r="D24" s="34" t="str">
        <x:v>water</x:v>
      </x:c>
      <x:c r="E24" s="34" t="n">
        <x:v>125</x:v>
      </x:c>
      <x:c r="F24" s="34" t="n">
        <x:v>12</x:v>
      </x:c>
      <x:c r="G24" s="34" t="str">
        <x:v>Average handling baseline</x:v>
      </x:c>
      <x:c r="H24" s="34" t="str">
        <x:v>$250/container average converted to $125/TEU; 12 h processing, timetable waiting calculated separately</x:v>
      </x:c>
    </x:row>
    <x:row r="25">
      <x:c r="A25" s="34" t="str">
        <x:v>Seattle/Tacoma</x:v>
      </x:c>
      <x:c r="B25" s="34" t="str">
        <x:v>port</x:v>
      </x:c>
      <x:c r="C25" s="34" t="str">
        <x:v>water</x:v>
      </x:c>
      <x:c r="D25" s="34" t="str">
        <x:v>road</x:v>
      </x:c>
      <x:c r="E25" s="34" t="n">
        <x:v>125</x:v>
      </x:c>
      <x:c r="F25" s="34" t="n">
        <x:v>12</x:v>
      </x:c>
      <x:c r="G25" s="34" t="str">
        <x:v>Average handling baseline</x:v>
      </x:c>
      <x:c r="H25" s="34" t="str">
        <x:v>$250/container average converted to $125/TEU; 12 h processing, timetable waiting calculated separately</x:v>
      </x:c>
    </x:row>
    <x:row r="26">
      <x:c r="A26" s="34" t="str">
        <x:v>Seattle/Tacoma</x:v>
      </x:c>
      <x:c r="B26" s="34" t="str">
        <x:v>port</x:v>
      </x:c>
      <x:c r="C26" s="34" t="str">
        <x:v>rail</x:v>
      </x:c>
      <x:c r="D26" s="34" t="str">
        <x:v>water</x:v>
      </x:c>
      <x:c r="E26" s="34" t="n">
        <x:v>125</x:v>
      </x:c>
      <x:c r="F26" s="34" t="n">
        <x:v>12</x:v>
      </x:c>
      <x:c r="G26" s="34" t="str">
        <x:v>Average handling baseline</x:v>
      </x:c>
      <x:c r="H26" s="34" t="str">
        <x:v>$250/container average converted to $125/TEU; 12 h processing, timetable waiting calculated separately</x:v>
      </x:c>
    </x:row>
    <x:row r="27">
      <x:c r="A27" s="34" t="str">
        <x:v>Seattle/Tacoma</x:v>
      </x:c>
      <x:c r="B27" s="34" t="str">
        <x:v>port</x:v>
      </x:c>
      <x:c r="C27" s="34" t="str">
        <x:v>water</x:v>
      </x:c>
      <x:c r="D27" s="34" t="str">
        <x:v>rail</x:v>
      </x:c>
      <x:c r="E27" s="34" t="n">
        <x:v>125</x:v>
      </x:c>
      <x:c r="F27" s="34" t="n">
        <x:v>12</x:v>
      </x:c>
      <x:c r="G27" s="34" t="str">
        <x:v>Average handling baseline</x:v>
      </x:c>
      <x:c r="H27" s="34" t="str">
        <x:v>$250/container average converted to $125/TEU; 12 h processing, timetable waiting calculated separately</x:v>
      </x:c>
    </x:row>
    <x:row r="28">
      <x:c r="A28" s="34" t="str">
        <x:v>Seattle/Tacoma</x:v>
      </x:c>
      <x:c r="B28" s="34" t="str">
        <x:v>port</x:v>
      </x:c>
      <x:c r="C28" s="34" t="str">
        <x:v>road</x:v>
      </x:c>
      <x:c r="D28" s="34" t="str">
        <x:v>rail</x:v>
      </x:c>
      <x:c r="E28" s="34" t="n">
        <x:v>125</x:v>
      </x:c>
      <x:c r="F28" s="34" t="n">
        <x:v>12</x:v>
      </x:c>
      <x:c r="G28" s="34" t="str">
        <x:v>Average handling baseline</x:v>
      </x:c>
      <x:c r="H28" s="34" t="str">
        <x:v>$250/container average converted to $125/TEU; 12 h processing, timetable waiting calculated separately</x:v>
      </x:c>
    </x:row>
    <x:row r="29">
      <x:c r="A29" s="34" t="str">
        <x:v>Seattle/Tacoma</x:v>
      </x:c>
      <x:c r="B29" s="34" t="str">
        <x:v>port</x:v>
      </x:c>
      <x:c r="C29" s="34" t="str">
        <x:v>rail</x:v>
      </x:c>
      <x:c r="D29" s="34" t="str">
        <x:v>road</x:v>
      </x:c>
      <x:c r="E29" s="34" t="n">
        <x:v>125</x:v>
      </x:c>
      <x:c r="F29" s="34" t="n">
        <x:v>12</x:v>
      </x:c>
      <x:c r="G29" s="34" t="str">
        <x:v>Average handling baseline</x:v>
      </x:c>
      <x:c r="H29" s="34" t="str">
        <x:v>$250/container average converted to $125/TEU; 12 h processing, timetable waiting calculated separately</x:v>
      </x:c>
    </x:row>
    <x:row r="30">
      <x:c r="A30" s="34" t="str">
        <x:v>New York/New Jersey</x:v>
      </x:c>
      <x:c r="B30" s="34" t="str">
        <x:v>port</x:v>
      </x:c>
      <x:c r="C30" s="34" t="str">
        <x:v>road</x:v>
      </x:c>
      <x:c r="D30" s="34" t="str">
        <x:v>water</x:v>
      </x:c>
      <x:c r="E30" s="34" t="n">
        <x:v>125</x:v>
      </x:c>
      <x:c r="F30" s="34" t="n">
        <x:v>12</x:v>
      </x:c>
      <x:c r="G30" s="34" t="str">
        <x:v>Average handling baseline</x:v>
      </x:c>
      <x:c r="H30" s="34" t="str">
        <x:v>$250/container average converted to $125/TEU; 12 h processing, timetable waiting calculated separately</x:v>
      </x:c>
    </x:row>
    <x:row r="31">
      <x:c r="A31" s="34" t="str">
        <x:v>New York/New Jersey</x:v>
      </x:c>
      <x:c r="B31" s="34" t="str">
        <x:v>port</x:v>
      </x:c>
      <x:c r="C31" s="34" t="str">
        <x:v>water</x:v>
      </x:c>
      <x:c r="D31" s="34" t="str">
        <x:v>road</x:v>
      </x:c>
      <x:c r="E31" s="34" t="n">
        <x:v>125</x:v>
      </x:c>
      <x:c r="F31" s="34" t="n">
        <x:v>12</x:v>
      </x:c>
      <x:c r="G31" s="34" t="str">
        <x:v>Average handling baseline</x:v>
      </x:c>
      <x:c r="H31" s="34" t="str">
        <x:v>$250/container average converted to $125/TEU; 12 h processing, timetable waiting calculated separately</x:v>
      </x:c>
    </x:row>
    <x:row r="32">
      <x:c r="A32" s="34" t="str">
        <x:v>New York/New Jersey</x:v>
      </x:c>
      <x:c r="B32" s="34" t="str">
        <x:v>port</x:v>
      </x:c>
      <x:c r="C32" s="34" t="str">
        <x:v>rail</x:v>
      </x:c>
      <x:c r="D32" s="34" t="str">
        <x:v>water</x:v>
      </x:c>
      <x:c r="E32" s="34" t="n">
        <x:v>125</x:v>
      </x:c>
      <x:c r="F32" s="34" t="n">
        <x:v>12</x:v>
      </x:c>
      <x:c r="G32" s="34" t="str">
        <x:v>Average handling baseline</x:v>
      </x:c>
      <x:c r="H32" s="34" t="str">
        <x:v>$250/container average converted to $125/TEU; 12 h processing, timetable waiting calculated separately</x:v>
      </x:c>
    </x:row>
    <x:row r="33">
      <x:c r="A33" s="34" t="str">
        <x:v>New York/New Jersey</x:v>
      </x:c>
      <x:c r="B33" s="34" t="str">
        <x:v>port</x:v>
      </x:c>
      <x:c r="C33" s="34" t="str">
        <x:v>water</x:v>
      </x:c>
      <x:c r="D33" s="34" t="str">
        <x:v>rail</x:v>
      </x:c>
      <x:c r="E33" s="34" t="n">
        <x:v>125</x:v>
      </x:c>
      <x:c r="F33" s="34" t="n">
        <x:v>12</x:v>
      </x:c>
      <x:c r="G33" s="34" t="str">
        <x:v>Average handling baseline</x:v>
      </x:c>
      <x:c r="H33" s="34" t="str">
        <x:v>$250/container average converted to $125/TEU; 12 h processing, timetable waiting calculated separately</x:v>
      </x:c>
    </x:row>
    <x:row r="34">
      <x:c r="A34" s="34" t="str">
        <x:v>New York/New Jersey</x:v>
      </x:c>
      <x:c r="B34" s="34" t="str">
        <x:v>port</x:v>
      </x:c>
      <x:c r="C34" s="34" t="str">
        <x:v>road</x:v>
      </x:c>
      <x:c r="D34" s="34" t="str">
        <x:v>rail</x:v>
      </x:c>
      <x:c r="E34" s="34" t="n">
        <x:v>125</x:v>
      </x:c>
      <x:c r="F34" s="34" t="n">
        <x:v>12</x:v>
      </x:c>
      <x:c r="G34" s="34" t="str">
        <x:v>Average handling baseline</x:v>
      </x:c>
      <x:c r="H34" s="34" t="str">
        <x:v>$250/container average converted to $125/TEU; 12 h processing, timetable waiting calculated separately</x:v>
      </x:c>
    </x:row>
    <x:row r="35">
      <x:c r="A35" s="34" t="str">
        <x:v>New York/New Jersey</x:v>
      </x:c>
      <x:c r="B35" s="34" t="str">
        <x:v>port</x:v>
      </x:c>
      <x:c r="C35" s="34" t="str">
        <x:v>rail</x:v>
      </x:c>
      <x:c r="D35" s="34" t="str">
        <x:v>road</x:v>
      </x:c>
      <x:c r="E35" s="34" t="n">
        <x:v>125</x:v>
      </x:c>
      <x:c r="F35" s="34" t="n">
        <x:v>12</x:v>
      </x:c>
      <x:c r="G35" s="34" t="str">
        <x:v>Average handling baseline</x:v>
      </x:c>
      <x:c r="H35" s="34" t="str">
        <x:v>$250/container average converted to $125/TEU; 12 h processing, timetable waiting calculated separately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6bc067c888741c9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28" hidden="0" customWidth="1"/>
    <x:col min="4" max="4" width="50" hidden="0" customWidth="1"/>
    <x:col min="5" max="5" width="28" hidden="0" customWidth="1"/>
    <x:col min="6" max="6" width="36" hidden="0" customWidth="1"/>
  </x:cols>
  <x:sheetData>
    <x:row r="1">
      <x:c r="A1" s="46" t="str">
        <x:v>Model Parameters and Cost Conversions</x:v>
      </x:c>
      <x:c r="B1" s="46"/>
      <x:c r="C1" s="46"/>
      <x:c r="D1" s="46"/>
      <x:c r="E1" s="46"/>
      <x:c r="F1" s="46"/>
    </x:row>
    <x:row r="3">
      <x:c r="A3" s="51" t="str">
        <x:v>Mode</x:v>
      </x:c>
      <x:c r="B3" s="51" t="str">
        <x:v>Speed_kmh</x:v>
      </x:c>
      <x:c r="C3" s="51" t="str">
        <x:v>Use</x:v>
      </x:c>
      <x:c r="D3" s="51" t="str">
        <x:v>Basis</x:v>
      </x:c>
      <x:c r="E3" s="51"/>
      <x:c r="F3" s="51"/>
    </x:row>
    <x:row r="4">
      <x:c r="A4" s="34" t="str">
        <x:v>road</x:v>
      </x:c>
      <x:c r="B4" s="34" t="n">
        <x:v>60</x:v>
      </x:c>
      <x:c r="C4" s="34" t="str">
        <x:v>Continuous-road travel time</x:v>
      </x:c>
      <x:c r="D4" s="34" t="str">
        <x:v>Retained from existing deterministic model</x:v>
      </x:c>
      <x:c r="E4" s="34"/>
      <x:c r="F4" s="34"/>
    </x:row>
    <x:row r="5">
      <x:c r="A5" s="34" t="str">
        <x:v>rail</x:v>
      </x:c>
      <x:c r="B5" s="34" t="n">
        <x:v>40</x:v>
      </x:c>
      <x:c r="C5" s="34" t="str">
        <x:v>Fallback/effective China freight-rail speed</x:v>
      </x:c>
      <x:c r="D5" s="34" t="str">
        <x:v>Scheduled US rail uses Timetable.time instead</x:v>
      </x:c>
      <x:c r="E5" s="34"/>
      <x:c r="F5" s="34"/>
    </x:row>
    <x:row r="6">
      <x:c r="A6" s="34" t="str">
        <x:v>water</x:v>
      </x:c>
      <x:c r="B6" s="34" t="n">
        <x:v>35</x:v>
      </x:c>
      <x:c r="C6" s="34" t="str">
        <x:v>Fallback only</x:v>
      </x:c>
      <x:c r="D6" s="34" t="str">
        <x:v>Scheduled ocean services use Timetable.time instead</x:v>
      </x:c>
      <x:c r="E6" s="34"/>
      <x:c r="F6" s="34"/>
    </x:row>
    <x:row r="7">
      <x:c r="A7" s="34"/>
      <x:c r="B7" s="34"/>
      <x:c r="C7" s="34"/>
      <x:c r="D7" s="34"/>
      <x:c r="E7" s="34"/>
      <x:c r="F7" s="34"/>
    </x:row>
    <x:row r="8">
      <x:c r="A8" s="34"/>
      <x:c r="B8" s="34"/>
      <x:c r="C8" s="34"/>
      <x:c r="D8" s="34"/>
      <x:c r="E8" s="34"/>
      <x:c r="F8" s="34"/>
    </x:row>
    <x:row r="9">
      <x:c r="A9" s="51" t="str">
        <x:v>Scope</x:v>
      </x:c>
      <x:c r="B9" s="51" t="str">
        <x:v>W_hold_USD_per_TEU_h</x:v>
      </x:c>
      <x:c r="C9" s="51" t="str">
        <x:v>W_proc_USD_per_TEU_h</x:v>
      </x:c>
      <x:c r="D9" s="51" t="str">
        <x:v>W_cong_USD_per_TEU_h</x:v>
      </x:c>
      <x:c r="E9" s="51" t="str">
        <x:v>Use</x:v>
      </x:c>
      <x:c r="F9" s="51" t="str">
        <x:v>Basis</x:v>
      </x:c>
    </x:row>
    <x:row r="10">
      <x:c r="A10" s="34" t="str">
        <x:v>ALL</x:v>
      </x:c>
      <x:c r="B10" s="34" t="n">
        <x:v>0.8</x:v>
      </x:c>
      <x:c r="C10" s="34" t="n">
        <x:v>0.8</x:v>
      </x:c>
      <x:c r="D10" s="34" t="n">
        <x:v>1.2</x:v>
      </x:c>
      <x:c r="E10" s="34" t="str">
        <x:v>Waiting/processing/congestion cost</x:v>
      </x:c>
      <x:c r="F10" s="34" t="str">
        <x:v>Retained from existing deterministic model</x:v>
      </x:c>
    </x:row>
    <x:row r="11">
      <x:c r="A11" s="34"/>
      <x:c r="B11" s="34"/>
      <x:c r="C11" s="34"/>
      <x:c r="D11" s="34"/>
      <x:c r="E11" s="34"/>
      <x:c r="F11" s="34"/>
    </x:row>
    <x:row r="12">
      <x:c r="A12" s="34"/>
      <x:c r="B12" s="34"/>
      <x:c r="C12" s="34"/>
      <x:c r="D12" s="34"/>
      <x:c r="E12" s="34"/>
      <x:c r="F12" s="34"/>
    </x:row>
    <x:row r="13">
      <x:c r="A13" s="51" t="str">
        <x:v>Parameter</x:v>
      </x:c>
      <x:c r="B13" s="51" t="str">
        <x:v>Value</x:v>
      </x:c>
      <x:c r="C13" s="34"/>
      <x:c r="D13" s="34"/>
      <x:c r="E13" s="34"/>
      <x:c r="F13" s="34"/>
    </x:row>
    <x:row r="14">
      <x:c r="A14" s="34" t="str">
        <x:v>US rail cost coeff. (USD/TEU-km)</x:v>
      </x:c>
      <x:c r="B14" s="52" t="n">
        <x:v>0.43185405197161564</x:v>
      </x:c>
      <x:c r="C14" s="34"/>
      <x:c r="D14" s="34"/>
      <x:c r="E14" s="34"/>
      <x:c r="F14" s="34"/>
    </x:row>
    <x:row r="15">
      <x:c r="A15" s="34" t="str">
        <x:v>US road cost coeff. (USD/TEU-km)</x:v>
      </x:c>
      <x:c r="B15" s="52" t="n">
        <x:v>0.910311059191967</x:v>
      </x:c>
      <x:c r="C15" s="34"/>
      <x:c r="D15" s="34"/>
      <x:c r="E15" s="34"/>
      <x:c r="F15" s="34"/>
    </x:row>
    <x:row r="16">
      <x:c r="A16" s="34" t="str">
        <x:v>USWC ocean avg (USD/TEU)</x:v>
      </x:c>
      <x:c r="B16" s="52" t="n">
        <x:v>2930.875</x:v>
      </x:c>
      <x:c r="C16" s="34"/>
      <x:c r="D16" s="34"/>
      <x:c r="E16" s="34"/>
      <x:c r="F16" s="34"/>
    </x:row>
    <x:row r="17">
      <x:c r="A17" s="34" t="str">
        <x:v>USEC ocean avg (USD/TEU)</x:v>
      </x:c>
      <x:c r="B17" s="52" t="n">
        <x:v>3741</x:v>
      </x:c>
      <x:c r="C17" s="34"/>
      <x:c r="D17" s="34"/>
      <x:c r="E17" s="34"/>
      <x:c r="F17" s="34"/>
    </x:row>
  </x:sheetData>
  <x:mergeCells>
    <x:mergeCell ref="A1:F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14" hidden="0" customWidth="1"/>
    <x:col min="5" max="5" width="10" hidden="0" customWidth="1"/>
    <x:col min="6" max="6" width="10" hidden="0" customWidth="1"/>
    <x:col min="7" max="7" width="24" hidden="0" customWidth="1"/>
    <x:col min="8" max="8" width="32" hidden="0" customWidth="1"/>
    <x:col min="9" max="9" width="24" hidden="0" customWidth="1"/>
    <x:col min="10" max="10" width="10" hidden="0" customWidth="1"/>
    <x:col min="11" max="11" width="20" hidden="0" customWidth="1"/>
    <x:col min="12" max="12" width="60" hidden="0" customWidth="1"/>
  </x:cols>
  <x:sheetData>
    <x:row r="1">
      <x:c r="A1" s="46" t="str">
        <x:v>40-batch case — Xi'an → Chicago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3">
      <x:c r="A3" s="51" t="str">
        <x:v>BatchID</x:v>
      </x:c>
      <x:c r="B3" s="51" t="str">
        <x:v>OriginEN</x:v>
      </x:c>
      <x:c r="C3" s="51" t="str">
        <x:v>DestEN</x:v>
      </x:c>
      <x:c r="D3" s="51" t="str">
        <x:v>QuantityTEU</x:v>
      </x:c>
      <x:c r="E3" s="51" t="str">
        <x:v>ET</x:v>
      </x:c>
      <x:c r="F3" s="51" t="str">
        <x:v>LT</x:v>
      </x:c>
      <x:c r="G3" s="51" t="str">
        <x:v>PenaltyCost_per_TEU_h</x:v>
      </x:c>
      <x:c r="H3" s="51" t="str">
        <x:v>DefaultRoute_Nodes</x:v>
      </x:c>
      <x:c r="I3" s="51" t="str">
        <x:v>DefaultRoute_Modes</x:v>
      </x:c>
      <x:c r="J3" s="51" t="str">
        <x:v>CaseID</x:v>
      </x:c>
      <x:c r="K3" s="51" t="str">
        <x:v>DataStatus</x:v>
      </x:c>
      <x:c r="L3" s="51" t="str">
        <x:v>Notes</x:v>
      </x:c>
    </x:row>
    <x:row r="4">
      <x:c r="A4" s="34" t="n">
        <x:v>1</x:v>
      </x:c>
      <x:c r="B4" s="34" t="str">
        <x:v>Xi'an</x:v>
      </x:c>
      <x:c r="C4" s="34" t="str">
        <x:v>Chicago</x:v>
      </x:c>
      <x:c r="D4" s="34" t="n">
        <x:v>120</x:v>
      </x:c>
      <x:c r="E4" s="34" t="n">
        <x:v>0</x:v>
      </x:c>
      <x:c r="F4" s="34" t="n">
        <x:v>660</x:v>
      </x:c>
      <x:c r="G4" s="34" t="n">
        <x:v>100</x:v>
      </x:c>
      <x:c r="H4" s="34"/>
      <x:c r="I4" s="34"/>
      <x:c r="J4" s="34" t="str">
        <x:v>D1</x:v>
      </x:c>
      <x:c r="K4" s="34" t="str">
        <x:v>Scenario-based</x:v>
      </x:c>
      <x:c r="L4" s="34" t="str">
        <x:v>Quantity/penalty inherited from previous 40-batch design; LT shifted +300 h for China–US horizon</x:v>
      </x:c>
    </x:row>
    <x:row r="5">
      <x:c r="A5" s="34" t="n">
        <x:v>2</x:v>
      </x:c>
      <x:c r="B5" s="34" t="str">
        <x:v>Xi'an</x:v>
      </x:c>
      <x:c r="C5" s="34" t="str">
        <x:v>Chicago</x:v>
      </x:c>
      <x:c r="D5" s="34" t="n">
        <x:v>110</x:v>
      </x:c>
      <x:c r="E5" s="34" t="n">
        <x:v>0</x:v>
      </x:c>
      <x:c r="F5" s="34" t="n">
        <x:v>672</x:v>
      </x:c>
      <x:c r="G5" s="34" t="n">
        <x:v>92.22</x:v>
      </x:c>
      <x:c r="H5" s="34"/>
      <x:c r="I5" s="34"/>
      <x:c r="J5" s="34" t="str">
        <x:v>D1</x:v>
      </x:c>
      <x:c r="K5" s="34" t="str">
        <x:v>Scenario-based</x:v>
      </x:c>
      <x:c r="L5" s="34" t="str">
        <x:v>Quantity/penalty inherited from previous 40-batch design; LT shifted +300 h for China–US horizon</x:v>
      </x:c>
    </x:row>
    <x:row r="6">
      <x:c r="A6" s="34" t="n">
        <x:v>3</x:v>
      </x:c>
      <x:c r="B6" s="34" t="str">
        <x:v>Xi'an</x:v>
      </x:c>
      <x:c r="C6" s="34" t="str">
        <x:v>Chicago</x:v>
      </x:c>
      <x:c r="D6" s="34" t="n">
        <x:v>100</x:v>
      </x:c>
      <x:c r="E6" s="34" t="n">
        <x:v>0</x:v>
      </x:c>
      <x:c r="F6" s="34" t="n">
        <x:v>684</x:v>
      </x:c>
      <x:c r="G6" s="34" t="n">
        <x:v>84.44</x:v>
      </x:c>
      <x:c r="H6" s="34"/>
      <x:c r="I6" s="34"/>
      <x:c r="J6" s="34" t="str">
        <x:v>D1</x:v>
      </x:c>
      <x:c r="K6" s="34" t="str">
        <x:v>Scenario-based</x:v>
      </x:c>
      <x:c r="L6" s="34" t="str">
        <x:v>Quantity/penalty inherited from previous 40-batch design; LT shifted +300 h for China–US horizon</x:v>
      </x:c>
    </x:row>
    <x:row r="7">
      <x:c r="A7" s="34" t="n">
        <x:v>4</x:v>
      </x:c>
      <x:c r="B7" s="34" t="str">
        <x:v>Xi'an</x:v>
      </x:c>
      <x:c r="C7" s="34" t="str">
        <x:v>Chicago</x:v>
      </x:c>
      <x:c r="D7" s="34" t="n">
        <x:v>95</x:v>
      </x:c>
      <x:c r="E7" s="34" t="n">
        <x:v>0</x:v>
      </x:c>
      <x:c r="F7" s="34" t="n">
        <x:v>696</x:v>
      </x:c>
      <x:c r="G7" s="34" t="n">
        <x:v>76.67</x:v>
      </x:c>
      <x:c r="H7" s="34"/>
      <x:c r="I7" s="34"/>
      <x:c r="J7" s="34" t="str">
        <x:v>D1</x:v>
      </x:c>
      <x:c r="K7" s="34" t="str">
        <x:v>Scenario-based</x:v>
      </x:c>
      <x:c r="L7" s="34" t="str">
        <x:v>Quantity/penalty inherited from previous 40-batch design; LT shifted +300 h for China–US horizon</x:v>
      </x:c>
    </x:row>
    <x:row r="8">
      <x:c r="A8" s="34" t="n">
        <x:v>5</x:v>
      </x:c>
      <x:c r="B8" s="34" t="str">
        <x:v>Xi'an</x:v>
      </x:c>
      <x:c r="C8" s="34" t="str">
        <x:v>Chicago</x:v>
      </x:c>
      <x:c r="D8" s="34" t="n">
        <x:v>130</x:v>
      </x:c>
      <x:c r="E8" s="34" t="n">
        <x:v>0</x:v>
      </x:c>
      <x:c r="F8" s="34" t="n">
        <x:v>708</x:v>
      </x:c>
      <x:c r="G8" s="34" t="n">
        <x:v>68.89</x:v>
      </x:c>
      <x:c r="H8" s="34"/>
      <x:c r="I8" s="34"/>
      <x:c r="J8" s="34" t="str">
        <x:v>D1</x:v>
      </x:c>
      <x:c r="K8" s="34" t="str">
        <x:v>Scenario-based</x:v>
      </x:c>
      <x:c r="L8" s="34" t="str">
        <x:v>Quantity/penalty inherited from previous 40-batch design; LT shifted +300 h for China–US horizon</x:v>
      </x:c>
    </x:row>
    <x:row r="9">
      <x:c r="A9" s="34" t="n">
        <x:v>6</x:v>
      </x:c>
      <x:c r="B9" s="34" t="str">
        <x:v>Xi'an</x:v>
      </x:c>
      <x:c r="C9" s="34" t="str">
        <x:v>Chicago</x:v>
      </x:c>
      <x:c r="D9" s="34" t="n">
        <x:v>115</x:v>
      </x:c>
      <x:c r="E9" s="34" t="n">
        <x:v>0</x:v>
      </x:c>
      <x:c r="F9" s="34" t="n">
        <x:v>720</x:v>
      </x:c>
      <x:c r="G9" s="34" t="n">
        <x:v>61.11</x:v>
      </x:c>
      <x:c r="H9" s="34"/>
      <x:c r="I9" s="34"/>
      <x:c r="J9" s="34" t="str">
        <x:v>D1</x:v>
      </x:c>
      <x:c r="K9" s="34" t="str">
        <x:v>Scenario-based</x:v>
      </x:c>
      <x:c r="L9" s="34" t="str">
        <x:v>Quantity/penalty inherited from previous 40-batch design; LT shifted +300 h for China–US horizon</x:v>
      </x:c>
    </x:row>
    <x:row r="10">
      <x:c r="A10" s="34" t="n">
        <x:v>7</x:v>
      </x:c>
      <x:c r="B10" s="34" t="str">
        <x:v>Xi'an</x:v>
      </x:c>
      <x:c r="C10" s="34" t="str">
        <x:v>Chicago</x:v>
      </x:c>
      <x:c r="D10" s="34" t="n">
        <x:v>105</x:v>
      </x:c>
      <x:c r="E10" s="34" t="n">
        <x:v>0</x:v>
      </x:c>
      <x:c r="F10" s="34" t="n">
        <x:v>732</x:v>
      </x:c>
      <x:c r="G10" s="34" t="n">
        <x:v>53.33</x:v>
      </x:c>
      <x:c r="H10" s="34"/>
      <x:c r="I10" s="34"/>
      <x:c r="J10" s="34" t="str">
        <x:v>D1</x:v>
      </x:c>
      <x:c r="K10" s="34" t="str">
        <x:v>Scenario-based</x:v>
      </x:c>
      <x:c r="L10" s="34" t="str">
        <x:v>Quantity/penalty inherited from previous 40-batch design; LT shifted +300 h for China–US horizon</x:v>
      </x:c>
    </x:row>
    <x:row r="11">
      <x:c r="A11" s="34" t="n">
        <x:v>8</x:v>
      </x:c>
      <x:c r="B11" s="34" t="str">
        <x:v>Xi'an</x:v>
      </x:c>
      <x:c r="C11" s="34" t="str">
        <x:v>Chicago</x:v>
      </x:c>
      <x:c r="D11" s="34" t="n">
        <x:v>90</x:v>
      </x:c>
      <x:c r="E11" s="34" t="n">
        <x:v>0</x:v>
      </x:c>
      <x:c r="F11" s="34" t="n">
        <x:v>744</x:v>
      </x:c>
      <x:c r="G11" s="34" t="n">
        <x:v>45.56</x:v>
      </x:c>
      <x:c r="H11" s="34"/>
      <x:c r="I11" s="34"/>
      <x:c r="J11" s="34" t="str">
        <x:v>D1</x:v>
      </x:c>
      <x:c r="K11" s="34" t="str">
        <x:v>Scenario-based</x:v>
      </x:c>
      <x:c r="L11" s="34" t="str">
        <x:v>Quantity/penalty inherited from previous 40-batch design; LT shifted +300 h for China–US horizon</x:v>
      </x:c>
    </x:row>
    <x:row r="12">
      <x:c r="A12" s="34" t="n">
        <x:v>9</x:v>
      </x:c>
      <x:c r="B12" s="34" t="str">
        <x:v>Xi'an</x:v>
      </x:c>
      <x:c r="C12" s="34" t="str">
        <x:v>Chicago</x:v>
      </x:c>
      <x:c r="D12" s="34" t="n">
        <x:v>125</x:v>
      </x:c>
      <x:c r="E12" s="34" t="n">
        <x:v>0</x:v>
      </x:c>
      <x:c r="F12" s="34" t="n">
        <x:v>756</x:v>
      </x:c>
      <x:c r="G12" s="34" t="n">
        <x:v>37.78</x:v>
      </x:c>
      <x:c r="H12" s="34"/>
      <x:c r="I12" s="34"/>
      <x:c r="J12" s="34" t="str">
        <x:v>D1</x:v>
      </x:c>
      <x:c r="K12" s="34" t="str">
        <x:v>Scenario-based</x:v>
      </x:c>
      <x:c r="L12" s="34" t="str">
        <x:v>Quantity/penalty inherited from previous 40-batch design; LT shifted +300 h for China–US horizon</x:v>
      </x:c>
    </x:row>
    <x:row r="13">
      <x:c r="A13" s="34" t="n">
        <x:v>10</x:v>
      </x:c>
      <x:c r="B13" s="34" t="str">
        <x:v>Xi'an</x:v>
      </x:c>
      <x:c r="C13" s="34" t="str">
        <x:v>Chicago</x:v>
      </x:c>
      <x:c r="D13" s="34" t="n">
        <x:v>140</x:v>
      </x:c>
      <x:c r="E13" s="34" t="n">
        <x:v>0</x:v>
      </x:c>
      <x:c r="F13" s="34" t="n">
        <x:v>768</x:v>
      </x:c>
      <x:c r="G13" s="34" t="n">
        <x:v>30</x:v>
      </x:c>
      <x:c r="H13" s="34"/>
      <x:c r="I13" s="34"/>
      <x:c r="J13" s="34" t="str">
        <x:v>D1</x:v>
      </x:c>
      <x:c r="K13" s="34" t="str">
        <x:v>Scenario-based</x:v>
      </x:c>
      <x:c r="L13" s="34" t="str">
        <x:v>Quantity/penalty inherited from previous 40-batch design; LT shifted +300 h for China–US horizon</x:v>
      </x:c>
    </x:row>
    <x:row r="14">
      <x:c r="A14" s="34" t="n">
        <x:v>11</x:v>
      </x:c>
      <x:c r="B14" s="34" t="str">
        <x:v>Xi'an</x:v>
      </x:c>
      <x:c r="C14" s="34" t="str">
        <x:v>Chicago</x:v>
      </x:c>
      <x:c r="D14" s="34" t="n">
        <x:v>81</x:v>
      </x:c>
      <x:c r="E14" s="34" t="n">
        <x:v>0</x:v>
      </x:c>
      <x:c r="F14" s="34" t="n">
        <x:v>754</x:v>
      </x:c>
      <x:c r="G14" s="34" t="n">
        <x:v>62.71</x:v>
      </x:c>
      <x:c r="H14" s="34"/>
      <x:c r="I14" s="34"/>
      <x:c r="J14" s="34" t="str">
        <x:v>D1</x:v>
      </x:c>
      <x:c r="K14" s="34" t="str">
        <x:v>Scenario-based</x:v>
      </x:c>
      <x:c r="L14" s="34" t="str">
        <x:v>Quantity/penalty inherited from previous 40-batch design; LT shifted +300 h for China–US horizon</x:v>
      </x:c>
    </x:row>
    <x:row r="15">
      <x:c r="A15" s="34" t="n">
        <x:v>12</x:v>
      </x:c>
      <x:c r="B15" s="34" t="str">
        <x:v>Xi'an</x:v>
      </x:c>
      <x:c r="C15" s="34" t="str">
        <x:v>Chicago</x:v>
      </x:c>
      <x:c r="D15" s="34" t="n">
        <x:v>125</x:v>
      </x:c>
      <x:c r="E15" s="34" t="n">
        <x:v>0</x:v>
      </x:c>
      <x:c r="F15" s="34" t="n">
        <x:v>701</x:v>
      </x:c>
      <x:c r="G15" s="34" t="n">
        <x:v>85.34</x:v>
      </x:c>
      <x:c r="H15" s="34"/>
      <x:c r="I15" s="34"/>
      <x:c r="J15" s="34" t="str">
        <x:v>D1</x:v>
      </x:c>
      <x:c r="K15" s="34" t="str">
        <x:v>Scenario-based</x:v>
      </x:c>
      <x:c r="L15" s="34" t="str">
        <x:v>Quantity/penalty inherited from previous 40-batch design; LT shifted +300 h for China–US horizon</x:v>
      </x:c>
    </x:row>
    <x:row r="16">
      <x:c r="A16" s="34" t="n">
        <x:v>13</x:v>
      </x:c>
      <x:c r="B16" s="34" t="str">
        <x:v>Xi'an</x:v>
      </x:c>
      <x:c r="C16" s="34" t="str">
        <x:v>Chicago</x:v>
      </x:c>
      <x:c r="D16" s="34" t="n">
        <x:v>131</x:v>
      </x:c>
      <x:c r="E16" s="34" t="n">
        <x:v>0</x:v>
      </x:c>
      <x:c r="F16" s="34" t="n">
        <x:v>668</x:v>
      </x:c>
      <x:c r="G16" s="34" t="n">
        <x:v>75.69</x:v>
      </x:c>
      <x:c r="H16" s="34"/>
      <x:c r="I16" s="34"/>
      <x:c r="J16" s="34" t="str">
        <x:v>D1</x:v>
      </x:c>
      <x:c r="K16" s="34" t="str">
        <x:v>Scenario-based</x:v>
      </x:c>
      <x:c r="L16" s="34" t="str">
        <x:v>Quantity/penalty inherited from previous 40-batch design; LT shifted +300 h for China–US horizon</x:v>
      </x:c>
    </x:row>
    <x:row r="17">
      <x:c r="A17" s="34" t="n">
        <x:v>14</x:v>
      </x:c>
      <x:c r="B17" s="34" t="str">
        <x:v>Xi'an</x:v>
      </x:c>
      <x:c r="C17" s="34" t="str">
        <x:v>Chicago</x:v>
      </x:c>
      <x:c r="D17" s="34" t="n">
        <x:v>91</x:v>
      </x:c>
      <x:c r="E17" s="34" t="n">
        <x:v>0</x:v>
      </x:c>
      <x:c r="F17" s="34" t="n">
        <x:v>814</x:v>
      </x:c>
      <x:c r="G17" s="34" t="n">
        <x:v>94.39</x:v>
      </x:c>
      <x:c r="H17" s="34"/>
      <x:c r="I17" s="34"/>
      <x:c r="J17" s="34" t="str">
        <x:v>D1</x:v>
      </x:c>
      <x:c r="K17" s="34" t="str">
        <x:v>Scenario-based</x:v>
      </x:c>
      <x:c r="L17" s="34" t="str">
        <x:v>Quantity/penalty inherited from previous 40-batch design; LT shifted +300 h for China–US horizon</x:v>
      </x:c>
    </x:row>
    <x:row r="18">
      <x:c r="A18" s="34" t="n">
        <x:v>15</x:v>
      </x:c>
      <x:c r="B18" s="34" t="str">
        <x:v>Xi'an</x:v>
      </x:c>
      <x:c r="C18" s="34" t="str">
        <x:v>Chicago</x:v>
      </x:c>
      <x:c r="D18" s="34" t="n">
        <x:v>122</x:v>
      </x:c>
      <x:c r="E18" s="34" t="n">
        <x:v>0</x:v>
      </x:c>
      <x:c r="F18" s="34" t="n">
        <x:v>775</x:v>
      </x:c>
      <x:c r="G18" s="34" t="n">
        <x:v>66.06</x:v>
      </x:c>
      <x:c r="H18" s="34"/>
      <x:c r="I18" s="34"/>
      <x:c r="J18" s="34" t="str">
        <x:v>D1</x:v>
      </x:c>
      <x:c r="K18" s="34" t="str">
        <x:v>Scenario-based</x:v>
      </x:c>
      <x:c r="L18" s="34" t="str">
        <x:v>Quantity/penalty inherited from previous 40-batch design; LT shifted +300 h for China–US horizon</x:v>
      </x:c>
    </x:row>
    <x:row r="19">
      <x:c r="A19" s="34" t="n">
        <x:v>16</x:v>
      </x:c>
      <x:c r="B19" s="34" t="str">
        <x:v>Xi'an</x:v>
      </x:c>
      <x:c r="C19" s="34" t="str">
        <x:v>Chicago</x:v>
      </x:c>
      <x:c r="D19" s="34" t="n">
        <x:v>126</x:v>
      </x:c>
      <x:c r="E19" s="34" t="n">
        <x:v>0</x:v>
      </x:c>
      <x:c r="F19" s="34" t="n">
        <x:v>718</x:v>
      </x:c>
      <x:c r="G19" s="34" t="n">
        <x:v>53.72</x:v>
      </x:c>
      <x:c r="H19" s="34"/>
      <x:c r="I19" s="34"/>
      <x:c r="J19" s="34" t="str">
        <x:v>D1</x:v>
      </x:c>
      <x:c r="K19" s="34" t="str">
        <x:v>Scenario-based</x:v>
      </x:c>
      <x:c r="L19" s="34" t="str">
        <x:v>Quantity/penalty inherited from previous 40-batch design; LT shifted +300 h for China–US horizon</x:v>
      </x:c>
    </x:row>
    <x:row r="20">
      <x:c r="A20" s="34" t="n">
        <x:v>17</x:v>
      </x:c>
      <x:c r="B20" s="34" t="str">
        <x:v>Xi'an</x:v>
      </x:c>
      <x:c r="C20" s="34" t="str">
        <x:v>Chicago</x:v>
      </x:c>
      <x:c r="D20" s="34" t="n">
        <x:v>90</x:v>
      </x:c>
      <x:c r="E20" s="34" t="n">
        <x:v>0</x:v>
      </x:c>
      <x:c r="F20" s="34" t="n">
        <x:v>677</x:v>
      </x:c>
      <x:c r="G20" s="34" t="n">
        <x:v>66.81</x:v>
      </x:c>
      <x:c r="H20" s="34"/>
      <x:c r="I20" s="34"/>
      <x:c r="J20" s="34" t="str">
        <x:v>D1</x:v>
      </x:c>
      <x:c r="K20" s="34" t="str">
        <x:v>Scenario-based</x:v>
      </x:c>
      <x:c r="L20" s="34" t="str">
        <x:v>Quantity/penalty inherited from previous 40-batch design; LT shifted +300 h for China–US horizon</x:v>
      </x:c>
    </x:row>
    <x:row r="21">
      <x:c r="A21" s="34" t="n">
        <x:v>18</x:v>
      </x:c>
      <x:c r="B21" s="34" t="str">
        <x:v>Xi'an</x:v>
      </x:c>
      <x:c r="C21" s="34" t="str">
        <x:v>Chicago</x:v>
      </x:c>
      <x:c r="D21" s="34" t="n">
        <x:v>99</x:v>
      </x:c>
      <x:c r="E21" s="34" t="n">
        <x:v>0</x:v>
      </x:c>
      <x:c r="F21" s="34" t="n">
        <x:v>758</x:v>
      </x:c>
      <x:c r="G21" s="34" t="n">
        <x:v>30.9</x:v>
      </x:c>
      <x:c r="H21" s="34"/>
      <x:c r="I21" s="34"/>
      <x:c r="J21" s="34" t="str">
        <x:v>D1</x:v>
      </x:c>
      <x:c r="K21" s="34" t="str">
        <x:v>Scenario-based</x:v>
      </x:c>
      <x:c r="L21" s="34" t="str">
        <x:v>Quantity/penalty inherited from previous 40-batch design; LT shifted +300 h for China–US horizon</x:v>
      </x:c>
    </x:row>
    <x:row r="22">
      <x:c r="A22" s="34" t="n">
        <x:v>19</x:v>
      </x:c>
      <x:c r="B22" s="34" t="str">
        <x:v>Xi'an</x:v>
      </x:c>
      <x:c r="C22" s="34" t="str">
        <x:v>Chicago</x:v>
      </x:c>
      <x:c r="D22" s="34" t="n">
        <x:v>150</x:v>
      </x:c>
      <x:c r="E22" s="34" t="n">
        <x:v>0</x:v>
      </x:c>
      <x:c r="F22" s="34" t="n">
        <x:v>703</x:v>
      </x:c>
      <x:c r="G22" s="34" t="n">
        <x:v>43.68</x:v>
      </x:c>
      <x:c r="H22" s="34"/>
      <x:c r="I22" s="34"/>
      <x:c r="J22" s="34" t="str">
        <x:v>D1</x:v>
      </x:c>
      <x:c r="K22" s="34" t="str">
        <x:v>Scenario-based</x:v>
      </x:c>
      <x:c r="L22" s="34" t="str">
        <x:v>Quantity/penalty inherited from previous 40-batch design; LT shifted +300 h for China–US horizon</x:v>
      </x:c>
    </x:row>
    <x:row r="23">
      <x:c r="A23" s="34" t="n">
        <x:v>20</x:v>
      </x:c>
      <x:c r="B23" s="34" t="str">
        <x:v>Xi'an</x:v>
      </x:c>
      <x:c r="C23" s="34" t="str">
        <x:v>Chicago</x:v>
      </x:c>
      <x:c r="D23" s="34" t="n">
        <x:v>103</x:v>
      </x:c>
      <x:c r="E23" s="34" t="n">
        <x:v>0</x:v>
      </x:c>
      <x:c r="F23" s="34" t="n">
        <x:v>716</x:v>
      </x:c>
      <x:c r="G23" s="34" t="n">
        <x:v>51</x:v>
      </x:c>
      <x:c r="H23" s="34"/>
      <x:c r="I23" s="34"/>
      <x:c r="J23" s="34" t="str">
        <x:v>D1</x:v>
      </x:c>
      <x:c r="K23" s="34" t="str">
        <x:v>Scenario-based</x:v>
      </x:c>
      <x:c r="L23" s="34" t="str">
        <x:v>Quantity/penalty inherited from previous 40-batch design; LT shifted +300 h for China–US horizon</x:v>
      </x:c>
    </x:row>
    <x:row r="24">
      <x:c r="A24" s="34" t="n">
        <x:v>21</x:v>
      </x:c>
      <x:c r="B24" s="34" t="str">
        <x:v>Xi'an</x:v>
      </x:c>
      <x:c r="C24" s="34" t="str">
        <x:v>Chicago</x:v>
      </x:c>
      <x:c r="D24" s="34" t="n">
        <x:v>146</x:v>
      </x:c>
      <x:c r="E24" s="34" t="n">
        <x:v>0</x:v>
      </x:c>
      <x:c r="F24" s="34" t="n">
        <x:v>797</x:v>
      </x:c>
      <x:c r="G24" s="34" t="n">
        <x:v>85.82</x:v>
      </x:c>
      <x:c r="H24" s="34"/>
      <x:c r="I24" s="34"/>
      <x:c r="J24" s="34" t="str">
        <x:v>D1</x:v>
      </x:c>
      <x:c r="K24" s="34" t="str">
        <x:v>Scenario-based</x:v>
      </x:c>
      <x:c r="L24" s="34" t="str">
        <x:v>Quantity/penalty inherited from previous 40-batch design; LT shifted +300 h for China–US horizon</x:v>
      </x:c>
    </x:row>
    <x:row r="25">
      <x:c r="A25" s="34" t="n">
        <x:v>22</x:v>
      </x:c>
      <x:c r="B25" s="34" t="str">
        <x:v>Xi'an</x:v>
      </x:c>
      <x:c r="C25" s="34" t="str">
        <x:v>Chicago</x:v>
      </x:c>
      <x:c r="D25" s="34" t="n">
        <x:v>94</x:v>
      </x:c>
      <x:c r="E25" s="34" t="n">
        <x:v>0</x:v>
      </x:c>
      <x:c r="F25" s="34" t="n">
        <x:v>699</x:v>
      </x:c>
      <x:c r="G25" s="34" t="n">
        <x:v>96.28</x:v>
      </x:c>
      <x:c r="H25" s="34"/>
      <x:c r="I25" s="34"/>
      <x:c r="J25" s="34" t="str">
        <x:v>D1</x:v>
      </x:c>
      <x:c r="K25" s="34" t="str">
        <x:v>Scenario-based</x:v>
      </x:c>
      <x:c r="L25" s="34" t="str">
        <x:v>Quantity/penalty inherited from previous 40-batch design; LT shifted +300 h for China–US horizon</x:v>
      </x:c>
    </x:row>
    <x:row r="26">
      <x:c r="A26" s="34" t="n">
        <x:v>23</x:v>
      </x:c>
      <x:c r="B26" s="34" t="str">
        <x:v>Xi'an</x:v>
      </x:c>
      <x:c r="C26" s="34" t="str">
        <x:v>Chicago</x:v>
      </x:c>
      <x:c r="D26" s="34" t="n">
        <x:v>122</x:v>
      </x:c>
      <x:c r="E26" s="34" t="n">
        <x:v>0</x:v>
      </x:c>
      <x:c r="F26" s="34" t="n">
        <x:v>716</x:v>
      </x:c>
      <x:c r="G26" s="34" t="n">
        <x:v>93.03</x:v>
      </x:c>
      <x:c r="H26" s="34"/>
      <x:c r="I26" s="34"/>
      <x:c r="J26" s="34" t="str">
        <x:v>D1</x:v>
      </x:c>
      <x:c r="K26" s="34" t="str">
        <x:v>Scenario-based</x:v>
      </x:c>
      <x:c r="L26" s="34" t="str">
        <x:v>Quantity/penalty inherited from previous 40-batch design; LT shifted +300 h for China–US horizon</x:v>
      </x:c>
    </x:row>
    <x:row r="27">
      <x:c r="A27" s="34" t="n">
        <x:v>24</x:v>
      </x:c>
      <x:c r="B27" s="34" t="str">
        <x:v>Xi'an</x:v>
      </x:c>
      <x:c r="C27" s="34" t="str">
        <x:v>Chicago</x:v>
      </x:c>
      <x:c r="D27" s="34" t="n">
        <x:v>108</x:v>
      </x:c>
      <x:c r="E27" s="34" t="n">
        <x:v>0</x:v>
      </x:c>
      <x:c r="F27" s="34" t="n">
        <x:v>764</x:v>
      </x:c>
      <x:c r="G27" s="34" t="n">
        <x:v>51.97</x:v>
      </x:c>
      <x:c r="H27" s="34"/>
      <x:c r="I27" s="34"/>
      <x:c r="J27" s="34" t="str">
        <x:v>D1</x:v>
      </x:c>
      <x:c r="K27" s="34" t="str">
        <x:v>Scenario-based</x:v>
      </x:c>
      <x:c r="L27" s="34" t="str">
        <x:v>Quantity/penalty inherited from previous 40-batch design; LT shifted +300 h for China–US horizon</x:v>
      </x:c>
    </x:row>
    <x:row r="28">
      <x:c r="A28" s="34" t="n">
        <x:v>25</x:v>
      </x:c>
      <x:c r="B28" s="34" t="str">
        <x:v>Xi'an</x:v>
      </x:c>
      <x:c r="C28" s="34" t="str">
        <x:v>Chicago</x:v>
      </x:c>
      <x:c r="D28" s="34" t="n">
        <x:v>87</x:v>
      </x:c>
      <x:c r="E28" s="34" t="n">
        <x:v>0</x:v>
      </x:c>
      <x:c r="F28" s="34" t="n">
        <x:v>765</x:v>
      </x:c>
      <x:c r="G28" s="34" t="n">
        <x:v>45.95</x:v>
      </x:c>
      <x:c r="H28" s="34"/>
      <x:c r="I28" s="34"/>
      <x:c r="J28" s="34" t="str">
        <x:v>D1</x:v>
      </x:c>
      <x:c r="K28" s="34" t="str">
        <x:v>Scenario-based</x:v>
      </x:c>
      <x:c r="L28" s="34" t="str">
        <x:v>Quantity/penalty inherited from previous 40-batch design; LT shifted +300 h for China–US horizon</x:v>
      </x:c>
    </x:row>
    <x:row r="29">
      <x:c r="A29" s="34" t="n">
        <x:v>26</x:v>
      </x:c>
      <x:c r="B29" s="34" t="str">
        <x:v>Xi'an</x:v>
      </x:c>
      <x:c r="C29" s="34" t="str">
        <x:v>Chicago</x:v>
      </x:c>
      <x:c r="D29" s="34" t="n">
        <x:v>113</x:v>
      </x:c>
      <x:c r="E29" s="34" t="n">
        <x:v>0</x:v>
      </x:c>
      <x:c r="F29" s="34" t="n">
        <x:v>743</x:v>
      </x:c>
      <x:c r="G29" s="34" t="n">
        <x:v>43.22</x:v>
      </x:c>
      <x:c r="H29" s="34"/>
      <x:c r="I29" s="34"/>
      <x:c r="J29" s="34" t="str">
        <x:v>D1</x:v>
      </x:c>
      <x:c r="K29" s="34" t="str">
        <x:v>Scenario-based</x:v>
      </x:c>
      <x:c r="L29" s="34" t="str">
        <x:v>Quantity/penalty inherited from previous 40-batch design; LT shifted +300 h for China–US horizon</x:v>
      </x:c>
    </x:row>
    <x:row r="30">
      <x:c r="A30" s="34" t="n">
        <x:v>27</x:v>
      </x:c>
      <x:c r="B30" s="34" t="str">
        <x:v>Xi'an</x:v>
      </x:c>
      <x:c r="C30" s="34" t="str">
        <x:v>Chicago</x:v>
      </x:c>
      <x:c r="D30" s="34" t="n">
        <x:v>149</x:v>
      </x:c>
      <x:c r="E30" s="34" t="n">
        <x:v>0</x:v>
      </x:c>
      <x:c r="F30" s="34" t="n">
        <x:v>737</x:v>
      </x:c>
      <x:c r="G30" s="34" t="n">
        <x:v>73.51</x:v>
      </x:c>
      <x:c r="H30" s="34"/>
      <x:c r="I30" s="34"/>
      <x:c r="J30" s="34" t="str">
        <x:v>D1</x:v>
      </x:c>
      <x:c r="K30" s="34" t="str">
        <x:v>Scenario-based</x:v>
      </x:c>
      <x:c r="L30" s="34" t="str">
        <x:v>Quantity/penalty inherited from previous 40-batch design; LT shifted +300 h for China–US horizon</x:v>
      </x:c>
    </x:row>
    <x:row r="31">
      <x:c r="A31" s="34" t="n">
        <x:v>28</x:v>
      </x:c>
      <x:c r="B31" s="34" t="str">
        <x:v>Xi'an</x:v>
      </x:c>
      <x:c r="C31" s="34" t="str">
        <x:v>Chicago</x:v>
      </x:c>
      <x:c r="D31" s="34" t="n">
        <x:v>105</x:v>
      </x:c>
      <x:c r="E31" s="34" t="n">
        <x:v>0</x:v>
      </x:c>
      <x:c r="F31" s="34" t="n">
        <x:v>713</x:v>
      </x:c>
      <x:c r="G31" s="34" t="n">
        <x:v>64.64</x:v>
      </x:c>
      <x:c r="H31" s="34"/>
      <x:c r="I31" s="34"/>
      <x:c r="J31" s="34" t="str">
        <x:v>D1</x:v>
      </x:c>
      <x:c r="K31" s="34" t="str">
        <x:v>Scenario-based</x:v>
      </x:c>
      <x:c r="L31" s="34" t="str">
        <x:v>Quantity/penalty inherited from previous 40-batch design; LT shifted +300 h for China–US horizon</x:v>
      </x:c>
    </x:row>
    <x:row r="32">
      <x:c r="A32" s="34" t="n">
        <x:v>29</x:v>
      </x:c>
      <x:c r="B32" s="34" t="str">
        <x:v>Xi'an</x:v>
      </x:c>
      <x:c r="C32" s="34" t="str">
        <x:v>Chicago</x:v>
      </x:c>
      <x:c r="D32" s="34" t="n">
        <x:v>82</x:v>
      </x:c>
      <x:c r="E32" s="34" t="n">
        <x:v>0</x:v>
      </x:c>
      <x:c r="F32" s="34" t="n">
        <x:v>760</x:v>
      </x:c>
      <x:c r="G32" s="34" t="n">
        <x:v>70.4</x:v>
      </x:c>
      <x:c r="H32" s="34"/>
      <x:c r="I32" s="34"/>
      <x:c r="J32" s="34" t="str">
        <x:v>D1</x:v>
      </x:c>
      <x:c r="K32" s="34" t="str">
        <x:v>Scenario-based</x:v>
      </x:c>
      <x:c r="L32" s="34" t="str">
        <x:v>Quantity/penalty inherited from previous 40-batch design; LT shifted +300 h for China–US horizon</x:v>
      </x:c>
    </x:row>
    <x:row r="33">
      <x:c r="A33" s="34" t="n">
        <x:v>30</x:v>
      </x:c>
      <x:c r="B33" s="34" t="str">
        <x:v>Xi'an</x:v>
      </x:c>
      <x:c r="C33" s="34" t="str">
        <x:v>Chicago</x:v>
      </x:c>
      <x:c r="D33" s="34" t="n">
        <x:v>136</x:v>
      </x:c>
      <x:c r="E33" s="34" t="n">
        <x:v>0</x:v>
      </x:c>
      <x:c r="F33" s="34" t="n">
        <x:v>636</x:v>
      </x:c>
      <x:c r="G33" s="34" t="n">
        <x:v>85.58</x:v>
      </x:c>
      <x:c r="H33" s="34"/>
      <x:c r="I33" s="34"/>
      <x:c r="J33" s="34" t="str">
        <x:v>D1</x:v>
      </x:c>
      <x:c r="K33" s="34" t="str">
        <x:v>Scenario-based</x:v>
      </x:c>
      <x:c r="L33" s="34" t="str">
        <x:v>Quantity/penalty inherited from previous 40-batch design; LT shifted +300 h for China–US horizon</x:v>
      </x:c>
    </x:row>
    <x:row r="34">
      <x:c r="A34" s="34" t="n">
        <x:v>31</x:v>
      </x:c>
      <x:c r="B34" s="34" t="str">
        <x:v>Xi'an</x:v>
      </x:c>
      <x:c r="C34" s="34" t="str">
        <x:v>Chicago</x:v>
      </x:c>
      <x:c r="D34" s="34" t="n">
        <x:v>133</x:v>
      </x:c>
      <x:c r="E34" s="34" t="n">
        <x:v>0</x:v>
      </x:c>
      <x:c r="F34" s="34" t="n">
        <x:v>696</x:v>
      </x:c>
      <x:c r="G34" s="34" t="n">
        <x:v>65</x:v>
      </x:c>
      <x:c r="H34" s="34"/>
      <x:c r="I34" s="34"/>
      <x:c r="J34" s="34" t="str">
        <x:v>D1</x:v>
      </x:c>
      <x:c r="K34" s="34" t="str">
        <x:v>Scenario-based</x:v>
      </x:c>
      <x:c r="L34" s="34" t="str">
        <x:v>Quantity/penalty inherited from previous 40-batch design; LT shifted +300 h for China–US horizon</x:v>
      </x:c>
    </x:row>
    <x:row r="35">
      <x:c r="A35" s="34" t="n">
        <x:v>32</x:v>
      </x:c>
      <x:c r="B35" s="34" t="str">
        <x:v>Xi'an</x:v>
      </x:c>
      <x:c r="C35" s="34" t="str">
        <x:v>Chicago</x:v>
      </x:c>
      <x:c r="D35" s="34" t="n">
        <x:v>92</x:v>
      </x:c>
      <x:c r="E35" s="34" t="n">
        <x:v>0</x:v>
      </x:c>
      <x:c r="F35" s="34" t="n">
        <x:v>803</x:v>
      </x:c>
      <x:c r="G35" s="34" t="n">
        <x:v>99.28</x:v>
      </x:c>
      <x:c r="H35" s="34"/>
      <x:c r="I35" s="34"/>
      <x:c r="J35" s="34" t="str">
        <x:v>D1</x:v>
      </x:c>
      <x:c r="K35" s="34" t="str">
        <x:v>Scenario-based</x:v>
      </x:c>
      <x:c r="L35" s="34" t="str">
        <x:v>Quantity/penalty inherited from previous 40-batch design; LT shifted +300 h for China–US horizon</x:v>
      </x:c>
    </x:row>
    <x:row r="36">
      <x:c r="A36" s="34" t="n">
        <x:v>33</x:v>
      </x:c>
      <x:c r="B36" s="34" t="str">
        <x:v>Xi'an</x:v>
      </x:c>
      <x:c r="C36" s="34" t="str">
        <x:v>Chicago</x:v>
      </x:c>
      <x:c r="D36" s="34" t="n">
        <x:v>98</x:v>
      </x:c>
      <x:c r="E36" s="34" t="n">
        <x:v>0</x:v>
      </x:c>
      <x:c r="F36" s="34" t="n">
        <x:v>702</x:v>
      </x:c>
      <x:c r="G36" s="34" t="n">
        <x:v>81.1</x:v>
      </x:c>
      <x:c r="H36" s="34"/>
      <x:c r="I36" s="34"/>
      <x:c r="J36" s="34" t="str">
        <x:v>D1</x:v>
      </x:c>
      <x:c r="K36" s="34" t="str">
        <x:v>Scenario-based</x:v>
      </x:c>
      <x:c r="L36" s="34" t="str">
        <x:v>Quantity/penalty inherited from previous 40-batch design; LT shifted +300 h for China–US horizon</x:v>
      </x:c>
    </x:row>
    <x:row r="37">
      <x:c r="A37" s="34" t="n">
        <x:v>34</x:v>
      </x:c>
      <x:c r="B37" s="34" t="str">
        <x:v>Xi'an</x:v>
      </x:c>
      <x:c r="C37" s="34" t="str">
        <x:v>Chicago</x:v>
      </x:c>
      <x:c r="D37" s="34" t="n">
        <x:v>106</x:v>
      </x:c>
      <x:c r="E37" s="34" t="n">
        <x:v>0</x:v>
      </x:c>
      <x:c r="F37" s="34" t="n">
        <x:v>740</x:v>
      </x:c>
      <x:c r="G37" s="34" t="n">
        <x:v>59.16</x:v>
      </x:c>
      <x:c r="H37" s="34"/>
      <x:c r="I37" s="34"/>
      <x:c r="J37" s="34" t="str">
        <x:v>D1</x:v>
      </x:c>
      <x:c r="K37" s="34" t="str">
        <x:v>Scenario-based</x:v>
      </x:c>
      <x:c r="L37" s="34" t="str">
        <x:v>Quantity/penalty inherited from previous 40-batch design; LT shifted +300 h for China–US horizon</x:v>
      </x:c>
    </x:row>
    <x:row r="38">
      <x:c r="A38" s="34" t="n">
        <x:v>35</x:v>
      </x:c>
      <x:c r="B38" s="34" t="str">
        <x:v>Xi'an</x:v>
      </x:c>
      <x:c r="C38" s="34" t="str">
        <x:v>Chicago</x:v>
      </x:c>
      <x:c r="D38" s="34" t="n">
        <x:v>116</x:v>
      </x:c>
      <x:c r="E38" s="34" t="n">
        <x:v>0</x:v>
      </x:c>
      <x:c r="F38" s="34" t="n">
        <x:v>813</x:v>
      </x:c>
      <x:c r="G38" s="34" t="n">
        <x:v>92.19</x:v>
      </x:c>
      <x:c r="H38" s="34"/>
      <x:c r="I38" s="34"/>
      <x:c r="J38" s="34" t="str">
        <x:v>D1</x:v>
      </x:c>
      <x:c r="K38" s="34" t="str">
        <x:v>Scenario-based</x:v>
      </x:c>
      <x:c r="L38" s="34" t="str">
        <x:v>Quantity/penalty inherited from previous 40-batch design; LT shifted +300 h for China–US horizon</x:v>
      </x:c>
    </x:row>
    <x:row r="39">
      <x:c r="A39" s="34" t="n">
        <x:v>36</x:v>
      </x:c>
      <x:c r="B39" s="34" t="str">
        <x:v>Xi'an</x:v>
      </x:c>
      <x:c r="C39" s="34" t="str">
        <x:v>Chicago</x:v>
      </x:c>
      <x:c r="D39" s="34" t="n">
        <x:v>101</x:v>
      </x:c>
      <x:c r="E39" s="34" t="n">
        <x:v>0</x:v>
      </x:c>
      <x:c r="F39" s="34" t="n">
        <x:v>665</x:v>
      </x:c>
      <x:c r="G39" s="34" t="n">
        <x:v>96.29</x:v>
      </x:c>
      <x:c r="H39" s="34"/>
      <x:c r="I39" s="34"/>
      <x:c r="J39" s="34" t="str">
        <x:v>D1</x:v>
      </x:c>
      <x:c r="K39" s="34" t="str">
        <x:v>Scenario-based</x:v>
      </x:c>
      <x:c r="L39" s="34" t="str">
        <x:v>Quantity/penalty inherited from previous 40-batch design; LT shifted +300 h for China–US horizon</x:v>
      </x:c>
    </x:row>
    <x:row r="40">
      <x:c r="A40" s="34" t="n">
        <x:v>37</x:v>
      </x:c>
      <x:c r="B40" s="34" t="str">
        <x:v>Xi'an</x:v>
      </x:c>
      <x:c r="C40" s="34" t="str">
        <x:v>Chicago</x:v>
      </x:c>
      <x:c r="D40" s="34" t="n">
        <x:v>82</x:v>
      </x:c>
      <x:c r="E40" s="34" t="n">
        <x:v>0</x:v>
      </x:c>
      <x:c r="F40" s="34" t="n">
        <x:v>691</x:v>
      </x:c>
      <x:c r="G40" s="34" t="n">
        <x:v>49.71</x:v>
      </x:c>
      <x:c r="H40" s="34"/>
      <x:c r="I40" s="34"/>
      <x:c r="J40" s="34" t="str">
        <x:v>D1</x:v>
      </x:c>
      <x:c r="K40" s="34" t="str">
        <x:v>Scenario-based</x:v>
      </x:c>
      <x:c r="L40" s="34" t="str">
        <x:v>Quantity/penalty inherited from previous 40-batch design; LT shifted +300 h for China–US horizon</x:v>
      </x:c>
    </x:row>
    <x:row r="41">
      <x:c r="A41" s="34" t="n">
        <x:v>38</x:v>
      </x:c>
      <x:c r="B41" s="34" t="str">
        <x:v>Xi'an</x:v>
      </x:c>
      <x:c r="C41" s="34" t="str">
        <x:v>Chicago</x:v>
      </x:c>
      <x:c r="D41" s="34" t="n">
        <x:v>84</x:v>
      </x:c>
      <x:c r="E41" s="34" t="n">
        <x:v>0</x:v>
      </x:c>
      <x:c r="F41" s="34" t="n">
        <x:v>726</x:v>
      </x:c>
      <x:c r="G41" s="34" t="n">
        <x:v>36.5</x:v>
      </x:c>
      <x:c r="H41" s="34"/>
      <x:c r="I41" s="34"/>
      <x:c r="J41" s="34" t="str">
        <x:v>D1</x:v>
      </x:c>
      <x:c r="K41" s="34" t="str">
        <x:v>Scenario-based</x:v>
      </x:c>
      <x:c r="L41" s="34" t="str">
        <x:v>Quantity/penalty inherited from previous 40-batch design; LT shifted +300 h for China–US horizon</x:v>
      </x:c>
    </x:row>
    <x:row r="42">
      <x:c r="A42" s="34" t="n">
        <x:v>39</x:v>
      </x:c>
      <x:c r="B42" s="34" t="str">
        <x:v>Xi'an</x:v>
      </x:c>
      <x:c r="C42" s="34" t="str">
        <x:v>Chicago</x:v>
      </x:c>
      <x:c r="D42" s="34" t="n">
        <x:v>140</x:v>
      </x:c>
      <x:c r="E42" s="34" t="n">
        <x:v>0</x:v>
      </x:c>
      <x:c r="F42" s="34" t="n">
        <x:v>747</x:v>
      </x:c>
      <x:c r="G42" s="34" t="n">
        <x:v>64.4</x:v>
      </x:c>
      <x:c r="H42" s="34"/>
      <x:c r="I42" s="34"/>
      <x:c r="J42" s="34" t="str">
        <x:v>D1</x:v>
      </x:c>
      <x:c r="K42" s="34" t="str">
        <x:v>Scenario-based</x:v>
      </x:c>
      <x:c r="L42" s="34" t="str">
        <x:v>Quantity/penalty inherited from previous 40-batch design; LT shifted +300 h for China–US horizon</x:v>
      </x:c>
    </x:row>
    <x:row r="43">
      <x:c r="A43" s="34" t="n">
        <x:v>40</x:v>
      </x:c>
      <x:c r="B43" s="34" t="str">
        <x:v>Xi'an</x:v>
      </x:c>
      <x:c r="C43" s="34" t="str">
        <x:v>Chicago</x:v>
      </x:c>
      <x:c r="D43" s="34" t="n">
        <x:v>113</x:v>
      </x:c>
      <x:c r="E43" s="34" t="n">
        <x:v>0</x:v>
      </x:c>
      <x:c r="F43" s="34" t="n">
        <x:v>740</x:v>
      </x:c>
      <x:c r="G43" s="34" t="n">
        <x:v>92.33</x:v>
      </x:c>
      <x:c r="H43" s="34"/>
      <x:c r="I43" s="34"/>
      <x:c r="J43" s="34" t="str">
        <x:v>D1</x:v>
      </x:c>
      <x:c r="K43" s="34" t="str">
        <x:v>Scenario-based</x:v>
      </x:c>
      <x:c r="L43" s="34" t="str">
        <x:v>Quantity/penalty inherited from previous 40-batch design; LT shifted +300 h for China–US horizon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0bb4c7e53774bad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14" hidden="0" customWidth="1"/>
    <x:col min="5" max="5" width="10" hidden="0" customWidth="1"/>
    <x:col min="6" max="6" width="10" hidden="0" customWidth="1"/>
    <x:col min="7" max="7" width="24" hidden="0" customWidth="1"/>
    <x:col min="8" max="8" width="32" hidden="0" customWidth="1"/>
    <x:col min="9" max="9" width="24" hidden="0" customWidth="1"/>
    <x:col min="10" max="10" width="10" hidden="0" customWidth="1"/>
    <x:col min="11" max="11" width="20" hidden="0" customWidth="1"/>
    <x:col min="12" max="12" width="60" hidden="0" customWidth="1"/>
  </x:cols>
  <x:sheetData>
    <x:row r="1">
      <x:c r="A1" s="46" t="str">
        <x:v>40-batch case — Xi'an → Chicago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3">
      <x:c r="A3" s="51" t="str">
        <x:v>BatchID</x:v>
      </x:c>
      <x:c r="B3" s="51" t="str">
        <x:v>OriginEN</x:v>
      </x:c>
      <x:c r="C3" s="51" t="str">
        <x:v>DestEN</x:v>
      </x:c>
      <x:c r="D3" s="51" t="str">
        <x:v>QuantityTEU</x:v>
      </x:c>
      <x:c r="E3" s="51" t="str">
        <x:v>ET</x:v>
      </x:c>
      <x:c r="F3" s="51" t="str">
        <x:v>LT</x:v>
      </x:c>
      <x:c r="G3" s="51" t="str">
        <x:v>PenaltyCost_per_TEU_h</x:v>
      </x:c>
      <x:c r="H3" s="51" t="str">
        <x:v>DefaultRoute_Nodes</x:v>
      </x:c>
      <x:c r="I3" s="51" t="str">
        <x:v>DefaultRoute_Modes</x:v>
      </x:c>
      <x:c r="J3" s="51" t="str">
        <x:v>CaseID</x:v>
      </x:c>
      <x:c r="K3" s="51" t="str">
        <x:v>DataStatus</x:v>
      </x:c>
      <x:c r="L3" s="51" t="str">
        <x:v>Notes</x:v>
      </x:c>
    </x:row>
    <x:row r="4">
      <x:c r="A4" s="34" t="n">
        <x:v>1</x:v>
      </x:c>
      <x:c r="B4" s="34" t="str">
        <x:v>Xi'an</x:v>
      </x:c>
      <x:c r="C4" s="34" t="str">
        <x:v>Chicago</x:v>
      </x:c>
      <x:c r="D4" s="34" t="n">
        <x:v>120</x:v>
      </x:c>
      <x:c r="E4" s="34" t="n">
        <x:v>0</x:v>
      </x:c>
      <x:c r="F4" s="34" t="n">
        <x:v>660</x:v>
      </x:c>
      <x:c r="G4" s="34" t="n">
        <x:v>100</x:v>
      </x:c>
      <x:c r="H4" s="34"/>
      <x:c r="I4" s="34"/>
      <x:c r="J4" s="34" t="str">
        <x:v>D1</x:v>
      </x:c>
      <x:c r="K4" s="34" t="str">
        <x:v>Scenario-based</x:v>
      </x:c>
      <x:c r="L4" s="34" t="str">
        <x:v>Quantity/penalty inherited from previous 40-batch design; LT shifted +300 h for China–US horizon</x:v>
      </x:c>
    </x:row>
    <x:row r="5">
      <x:c r="A5" s="34" t="n">
        <x:v>2</x:v>
      </x:c>
      <x:c r="B5" s="34" t="str">
        <x:v>Xi'an</x:v>
      </x:c>
      <x:c r="C5" s="34" t="str">
        <x:v>Chicago</x:v>
      </x:c>
      <x:c r="D5" s="34" t="n">
        <x:v>110</x:v>
      </x:c>
      <x:c r="E5" s="34" t="n">
        <x:v>0</x:v>
      </x:c>
      <x:c r="F5" s="34" t="n">
        <x:v>672</x:v>
      </x:c>
      <x:c r="G5" s="34" t="n">
        <x:v>92.22</x:v>
      </x:c>
      <x:c r="H5" s="34"/>
      <x:c r="I5" s="34"/>
      <x:c r="J5" s="34" t="str">
        <x:v>D1</x:v>
      </x:c>
      <x:c r="K5" s="34" t="str">
        <x:v>Scenario-based</x:v>
      </x:c>
      <x:c r="L5" s="34" t="str">
        <x:v>Quantity/penalty inherited from previous 40-batch design; LT shifted +300 h for China–US horizon</x:v>
      </x:c>
    </x:row>
    <x:row r="6">
      <x:c r="A6" s="34" t="n">
        <x:v>3</x:v>
      </x:c>
      <x:c r="B6" s="34" t="str">
        <x:v>Xi'an</x:v>
      </x:c>
      <x:c r="C6" s="34" t="str">
        <x:v>Chicago</x:v>
      </x:c>
      <x:c r="D6" s="34" t="n">
        <x:v>100</x:v>
      </x:c>
      <x:c r="E6" s="34" t="n">
        <x:v>0</x:v>
      </x:c>
      <x:c r="F6" s="34" t="n">
        <x:v>684</x:v>
      </x:c>
      <x:c r="G6" s="34" t="n">
        <x:v>84.44</x:v>
      </x:c>
      <x:c r="H6" s="34"/>
      <x:c r="I6" s="34"/>
      <x:c r="J6" s="34" t="str">
        <x:v>D1</x:v>
      </x:c>
      <x:c r="K6" s="34" t="str">
        <x:v>Scenario-based</x:v>
      </x:c>
      <x:c r="L6" s="34" t="str">
        <x:v>Quantity/penalty inherited from previous 40-batch design; LT shifted +300 h for China–US horizon</x:v>
      </x:c>
    </x:row>
    <x:row r="7">
      <x:c r="A7" s="34" t="n">
        <x:v>4</x:v>
      </x:c>
      <x:c r="B7" s="34" t="str">
        <x:v>Xi'an</x:v>
      </x:c>
      <x:c r="C7" s="34" t="str">
        <x:v>Chicago</x:v>
      </x:c>
      <x:c r="D7" s="34" t="n">
        <x:v>95</x:v>
      </x:c>
      <x:c r="E7" s="34" t="n">
        <x:v>0</x:v>
      </x:c>
      <x:c r="F7" s="34" t="n">
        <x:v>696</x:v>
      </x:c>
      <x:c r="G7" s="34" t="n">
        <x:v>76.67</x:v>
      </x:c>
      <x:c r="H7" s="34"/>
      <x:c r="I7" s="34"/>
      <x:c r="J7" s="34" t="str">
        <x:v>D1</x:v>
      </x:c>
      <x:c r="K7" s="34" t="str">
        <x:v>Scenario-based</x:v>
      </x:c>
      <x:c r="L7" s="34" t="str">
        <x:v>Quantity/penalty inherited from previous 40-batch design; LT shifted +300 h for China–US horizon</x:v>
      </x:c>
    </x:row>
    <x:row r="8">
      <x:c r="A8" s="34" t="n">
        <x:v>5</x:v>
      </x:c>
      <x:c r="B8" s="34" t="str">
        <x:v>Xi'an</x:v>
      </x:c>
      <x:c r="C8" s="34" t="str">
        <x:v>Chicago</x:v>
      </x:c>
      <x:c r="D8" s="34" t="n">
        <x:v>130</x:v>
      </x:c>
      <x:c r="E8" s="34" t="n">
        <x:v>0</x:v>
      </x:c>
      <x:c r="F8" s="34" t="n">
        <x:v>708</x:v>
      </x:c>
      <x:c r="G8" s="34" t="n">
        <x:v>68.89</x:v>
      </x:c>
      <x:c r="H8" s="34"/>
      <x:c r="I8" s="34"/>
      <x:c r="J8" s="34" t="str">
        <x:v>D1</x:v>
      </x:c>
      <x:c r="K8" s="34" t="str">
        <x:v>Scenario-based</x:v>
      </x:c>
      <x:c r="L8" s="34" t="str">
        <x:v>Quantity/penalty inherited from previous 40-batch design; LT shifted +300 h for China–US horizon</x:v>
      </x:c>
    </x:row>
    <x:row r="9">
      <x:c r="A9" s="34" t="n">
        <x:v>6</x:v>
      </x:c>
      <x:c r="B9" s="34" t="str">
        <x:v>Xi'an</x:v>
      </x:c>
      <x:c r="C9" s="34" t="str">
        <x:v>Chicago</x:v>
      </x:c>
      <x:c r="D9" s="34" t="n">
        <x:v>115</x:v>
      </x:c>
      <x:c r="E9" s="34" t="n">
        <x:v>0</x:v>
      </x:c>
      <x:c r="F9" s="34" t="n">
        <x:v>720</x:v>
      </x:c>
      <x:c r="G9" s="34" t="n">
        <x:v>61.11</x:v>
      </x:c>
      <x:c r="H9" s="34"/>
      <x:c r="I9" s="34"/>
      <x:c r="J9" s="34" t="str">
        <x:v>D1</x:v>
      </x:c>
      <x:c r="K9" s="34" t="str">
        <x:v>Scenario-based</x:v>
      </x:c>
      <x:c r="L9" s="34" t="str">
        <x:v>Quantity/penalty inherited from previous 40-batch design; LT shifted +300 h for China–US horizon</x:v>
      </x:c>
    </x:row>
    <x:row r="10">
      <x:c r="A10" s="34" t="n">
        <x:v>7</x:v>
      </x:c>
      <x:c r="B10" s="34" t="str">
        <x:v>Xi'an</x:v>
      </x:c>
      <x:c r="C10" s="34" t="str">
        <x:v>Chicago</x:v>
      </x:c>
      <x:c r="D10" s="34" t="n">
        <x:v>105</x:v>
      </x:c>
      <x:c r="E10" s="34" t="n">
        <x:v>0</x:v>
      </x:c>
      <x:c r="F10" s="34" t="n">
        <x:v>732</x:v>
      </x:c>
      <x:c r="G10" s="34" t="n">
        <x:v>53.33</x:v>
      </x:c>
      <x:c r="H10" s="34"/>
      <x:c r="I10" s="34"/>
      <x:c r="J10" s="34" t="str">
        <x:v>D1</x:v>
      </x:c>
      <x:c r="K10" s="34" t="str">
        <x:v>Scenario-based</x:v>
      </x:c>
      <x:c r="L10" s="34" t="str">
        <x:v>Quantity/penalty inherited from previous 40-batch design; LT shifted +300 h for China–US horizon</x:v>
      </x:c>
    </x:row>
    <x:row r="11">
      <x:c r="A11" s="34" t="n">
        <x:v>8</x:v>
      </x:c>
      <x:c r="B11" s="34" t="str">
        <x:v>Xi'an</x:v>
      </x:c>
      <x:c r="C11" s="34" t="str">
        <x:v>Chicago</x:v>
      </x:c>
      <x:c r="D11" s="34" t="n">
        <x:v>90</x:v>
      </x:c>
      <x:c r="E11" s="34" t="n">
        <x:v>0</x:v>
      </x:c>
      <x:c r="F11" s="34" t="n">
        <x:v>744</x:v>
      </x:c>
      <x:c r="G11" s="34" t="n">
        <x:v>45.56</x:v>
      </x:c>
      <x:c r="H11" s="34"/>
      <x:c r="I11" s="34"/>
      <x:c r="J11" s="34" t="str">
        <x:v>D1</x:v>
      </x:c>
      <x:c r="K11" s="34" t="str">
        <x:v>Scenario-based</x:v>
      </x:c>
      <x:c r="L11" s="34" t="str">
        <x:v>Quantity/penalty inherited from previous 40-batch design; LT shifted +300 h for China–US horizon</x:v>
      </x:c>
    </x:row>
    <x:row r="12">
      <x:c r="A12" s="34" t="n">
        <x:v>9</x:v>
      </x:c>
      <x:c r="B12" s="34" t="str">
        <x:v>Xi'an</x:v>
      </x:c>
      <x:c r="C12" s="34" t="str">
        <x:v>Chicago</x:v>
      </x:c>
      <x:c r="D12" s="34" t="n">
        <x:v>125</x:v>
      </x:c>
      <x:c r="E12" s="34" t="n">
        <x:v>0</x:v>
      </x:c>
      <x:c r="F12" s="34" t="n">
        <x:v>756</x:v>
      </x:c>
      <x:c r="G12" s="34" t="n">
        <x:v>37.78</x:v>
      </x:c>
      <x:c r="H12" s="34"/>
      <x:c r="I12" s="34"/>
      <x:c r="J12" s="34" t="str">
        <x:v>D1</x:v>
      </x:c>
      <x:c r="K12" s="34" t="str">
        <x:v>Scenario-based</x:v>
      </x:c>
      <x:c r="L12" s="34" t="str">
        <x:v>Quantity/penalty inherited from previous 40-batch design; LT shifted +300 h for China–US horizon</x:v>
      </x:c>
    </x:row>
    <x:row r="13">
      <x:c r="A13" s="34" t="n">
        <x:v>10</x:v>
      </x:c>
      <x:c r="B13" s="34" t="str">
        <x:v>Xi'an</x:v>
      </x:c>
      <x:c r="C13" s="34" t="str">
        <x:v>Chicago</x:v>
      </x:c>
      <x:c r="D13" s="34" t="n">
        <x:v>140</x:v>
      </x:c>
      <x:c r="E13" s="34" t="n">
        <x:v>0</x:v>
      </x:c>
      <x:c r="F13" s="34" t="n">
        <x:v>768</x:v>
      </x:c>
      <x:c r="G13" s="34" t="n">
        <x:v>30</x:v>
      </x:c>
      <x:c r="H13" s="34"/>
      <x:c r="I13" s="34"/>
      <x:c r="J13" s="34" t="str">
        <x:v>D1</x:v>
      </x:c>
      <x:c r="K13" s="34" t="str">
        <x:v>Scenario-based</x:v>
      </x:c>
      <x:c r="L13" s="34" t="str">
        <x:v>Quantity/penalty inherited from previous 40-batch design; LT shifted +300 h for China–US horizon</x:v>
      </x:c>
    </x:row>
    <x:row r="14">
      <x:c r="A14" s="34" t="n">
        <x:v>11</x:v>
      </x:c>
      <x:c r="B14" s="34" t="str">
        <x:v>Xi'an</x:v>
      </x:c>
      <x:c r="C14" s="34" t="str">
        <x:v>Chicago</x:v>
      </x:c>
      <x:c r="D14" s="34" t="n">
        <x:v>81</x:v>
      </x:c>
      <x:c r="E14" s="34" t="n">
        <x:v>0</x:v>
      </x:c>
      <x:c r="F14" s="34" t="n">
        <x:v>754</x:v>
      </x:c>
      <x:c r="G14" s="34" t="n">
        <x:v>62.71</x:v>
      </x:c>
      <x:c r="H14" s="34"/>
      <x:c r="I14" s="34"/>
      <x:c r="J14" s="34" t="str">
        <x:v>D1</x:v>
      </x:c>
      <x:c r="K14" s="34" t="str">
        <x:v>Scenario-based</x:v>
      </x:c>
      <x:c r="L14" s="34" t="str">
        <x:v>Quantity/penalty inherited from previous 40-batch design; LT shifted +300 h for China–US horizon</x:v>
      </x:c>
    </x:row>
    <x:row r="15">
      <x:c r="A15" s="34" t="n">
        <x:v>12</x:v>
      </x:c>
      <x:c r="B15" s="34" t="str">
        <x:v>Xi'an</x:v>
      </x:c>
      <x:c r="C15" s="34" t="str">
        <x:v>Chicago</x:v>
      </x:c>
      <x:c r="D15" s="34" t="n">
        <x:v>125</x:v>
      </x:c>
      <x:c r="E15" s="34" t="n">
        <x:v>0</x:v>
      </x:c>
      <x:c r="F15" s="34" t="n">
        <x:v>701</x:v>
      </x:c>
      <x:c r="G15" s="34" t="n">
        <x:v>85.34</x:v>
      </x:c>
      <x:c r="H15" s="34"/>
      <x:c r="I15" s="34"/>
      <x:c r="J15" s="34" t="str">
        <x:v>D1</x:v>
      </x:c>
      <x:c r="K15" s="34" t="str">
        <x:v>Scenario-based</x:v>
      </x:c>
      <x:c r="L15" s="34" t="str">
        <x:v>Quantity/penalty inherited from previous 40-batch design; LT shifted +300 h for China–US horizon</x:v>
      </x:c>
    </x:row>
    <x:row r="16">
      <x:c r="A16" s="34" t="n">
        <x:v>13</x:v>
      </x:c>
      <x:c r="B16" s="34" t="str">
        <x:v>Xi'an</x:v>
      </x:c>
      <x:c r="C16" s="34" t="str">
        <x:v>Chicago</x:v>
      </x:c>
      <x:c r="D16" s="34" t="n">
        <x:v>131</x:v>
      </x:c>
      <x:c r="E16" s="34" t="n">
        <x:v>0</x:v>
      </x:c>
      <x:c r="F16" s="34" t="n">
        <x:v>668</x:v>
      </x:c>
      <x:c r="G16" s="34" t="n">
        <x:v>75.69</x:v>
      </x:c>
      <x:c r="H16" s="34"/>
      <x:c r="I16" s="34"/>
      <x:c r="J16" s="34" t="str">
        <x:v>D1</x:v>
      </x:c>
      <x:c r="K16" s="34" t="str">
        <x:v>Scenario-based</x:v>
      </x:c>
      <x:c r="L16" s="34" t="str">
        <x:v>Quantity/penalty inherited from previous 40-batch design; LT shifted +300 h for China–US horizon</x:v>
      </x:c>
    </x:row>
    <x:row r="17">
      <x:c r="A17" s="34" t="n">
        <x:v>14</x:v>
      </x:c>
      <x:c r="B17" s="34" t="str">
        <x:v>Xi'an</x:v>
      </x:c>
      <x:c r="C17" s="34" t="str">
        <x:v>Chicago</x:v>
      </x:c>
      <x:c r="D17" s="34" t="n">
        <x:v>91</x:v>
      </x:c>
      <x:c r="E17" s="34" t="n">
        <x:v>0</x:v>
      </x:c>
      <x:c r="F17" s="34" t="n">
        <x:v>814</x:v>
      </x:c>
      <x:c r="G17" s="34" t="n">
        <x:v>94.39</x:v>
      </x:c>
      <x:c r="H17" s="34"/>
      <x:c r="I17" s="34"/>
      <x:c r="J17" s="34" t="str">
        <x:v>D1</x:v>
      </x:c>
      <x:c r="K17" s="34" t="str">
        <x:v>Scenario-based</x:v>
      </x:c>
      <x:c r="L17" s="34" t="str">
        <x:v>Quantity/penalty inherited from previous 40-batch design; LT shifted +300 h for China–US horizon</x:v>
      </x:c>
    </x:row>
    <x:row r="18">
      <x:c r="A18" s="34" t="n">
        <x:v>15</x:v>
      </x:c>
      <x:c r="B18" s="34" t="str">
        <x:v>Xi'an</x:v>
      </x:c>
      <x:c r="C18" s="34" t="str">
        <x:v>Chicago</x:v>
      </x:c>
      <x:c r="D18" s="34" t="n">
        <x:v>122</x:v>
      </x:c>
      <x:c r="E18" s="34" t="n">
        <x:v>0</x:v>
      </x:c>
      <x:c r="F18" s="34" t="n">
        <x:v>775</x:v>
      </x:c>
      <x:c r="G18" s="34" t="n">
        <x:v>66.06</x:v>
      </x:c>
      <x:c r="H18" s="34"/>
      <x:c r="I18" s="34"/>
      <x:c r="J18" s="34" t="str">
        <x:v>D1</x:v>
      </x:c>
      <x:c r="K18" s="34" t="str">
        <x:v>Scenario-based</x:v>
      </x:c>
      <x:c r="L18" s="34" t="str">
        <x:v>Quantity/penalty inherited from previous 40-batch design; LT shifted +300 h for China–US horizon</x:v>
      </x:c>
    </x:row>
    <x:row r="19">
      <x:c r="A19" s="34" t="n">
        <x:v>16</x:v>
      </x:c>
      <x:c r="B19" s="34" t="str">
        <x:v>Xi'an</x:v>
      </x:c>
      <x:c r="C19" s="34" t="str">
        <x:v>Chicago</x:v>
      </x:c>
      <x:c r="D19" s="34" t="n">
        <x:v>126</x:v>
      </x:c>
      <x:c r="E19" s="34" t="n">
        <x:v>0</x:v>
      </x:c>
      <x:c r="F19" s="34" t="n">
        <x:v>718</x:v>
      </x:c>
      <x:c r="G19" s="34" t="n">
        <x:v>53.72</x:v>
      </x:c>
      <x:c r="H19" s="34"/>
      <x:c r="I19" s="34"/>
      <x:c r="J19" s="34" t="str">
        <x:v>D1</x:v>
      </x:c>
      <x:c r="K19" s="34" t="str">
        <x:v>Scenario-based</x:v>
      </x:c>
      <x:c r="L19" s="34" t="str">
        <x:v>Quantity/penalty inherited from previous 40-batch design; LT shifted +300 h for China–US horizon</x:v>
      </x:c>
    </x:row>
    <x:row r="20">
      <x:c r="A20" s="34" t="n">
        <x:v>17</x:v>
      </x:c>
      <x:c r="B20" s="34" t="str">
        <x:v>Xi'an</x:v>
      </x:c>
      <x:c r="C20" s="34" t="str">
        <x:v>Chicago</x:v>
      </x:c>
      <x:c r="D20" s="34" t="n">
        <x:v>90</x:v>
      </x:c>
      <x:c r="E20" s="34" t="n">
        <x:v>0</x:v>
      </x:c>
      <x:c r="F20" s="34" t="n">
        <x:v>677</x:v>
      </x:c>
      <x:c r="G20" s="34" t="n">
        <x:v>66.81</x:v>
      </x:c>
      <x:c r="H20" s="34"/>
      <x:c r="I20" s="34"/>
      <x:c r="J20" s="34" t="str">
        <x:v>D1</x:v>
      </x:c>
      <x:c r="K20" s="34" t="str">
        <x:v>Scenario-based</x:v>
      </x:c>
      <x:c r="L20" s="34" t="str">
        <x:v>Quantity/penalty inherited from previous 40-batch design; LT shifted +300 h for China–US horizon</x:v>
      </x:c>
    </x:row>
    <x:row r="21">
      <x:c r="A21" s="34" t="n">
        <x:v>18</x:v>
      </x:c>
      <x:c r="B21" s="34" t="str">
        <x:v>Xi'an</x:v>
      </x:c>
      <x:c r="C21" s="34" t="str">
        <x:v>Chicago</x:v>
      </x:c>
      <x:c r="D21" s="34" t="n">
        <x:v>99</x:v>
      </x:c>
      <x:c r="E21" s="34" t="n">
        <x:v>0</x:v>
      </x:c>
      <x:c r="F21" s="34" t="n">
        <x:v>758</x:v>
      </x:c>
      <x:c r="G21" s="34" t="n">
        <x:v>30.9</x:v>
      </x:c>
      <x:c r="H21" s="34"/>
      <x:c r="I21" s="34"/>
      <x:c r="J21" s="34" t="str">
        <x:v>D1</x:v>
      </x:c>
      <x:c r="K21" s="34" t="str">
        <x:v>Scenario-based</x:v>
      </x:c>
      <x:c r="L21" s="34" t="str">
        <x:v>Quantity/penalty inherited from previous 40-batch design; LT shifted +300 h for China–US horizon</x:v>
      </x:c>
    </x:row>
    <x:row r="22">
      <x:c r="A22" s="34" t="n">
        <x:v>19</x:v>
      </x:c>
      <x:c r="B22" s="34" t="str">
        <x:v>Xi'an</x:v>
      </x:c>
      <x:c r="C22" s="34" t="str">
        <x:v>Chicago</x:v>
      </x:c>
      <x:c r="D22" s="34" t="n">
        <x:v>150</x:v>
      </x:c>
      <x:c r="E22" s="34" t="n">
        <x:v>0</x:v>
      </x:c>
      <x:c r="F22" s="34" t="n">
        <x:v>703</x:v>
      </x:c>
      <x:c r="G22" s="34" t="n">
        <x:v>43.68</x:v>
      </x:c>
      <x:c r="H22" s="34"/>
      <x:c r="I22" s="34"/>
      <x:c r="J22" s="34" t="str">
        <x:v>D1</x:v>
      </x:c>
      <x:c r="K22" s="34" t="str">
        <x:v>Scenario-based</x:v>
      </x:c>
      <x:c r="L22" s="34" t="str">
        <x:v>Quantity/penalty inherited from previous 40-batch design; LT shifted +300 h for China–US horizon</x:v>
      </x:c>
    </x:row>
    <x:row r="23">
      <x:c r="A23" s="34" t="n">
        <x:v>20</x:v>
      </x:c>
      <x:c r="B23" s="34" t="str">
        <x:v>Xi'an</x:v>
      </x:c>
      <x:c r="C23" s="34" t="str">
        <x:v>Chicago</x:v>
      </x:c>
      <x:c r="D23" s="34" t="n">
        <x:v>103</x:v>
      </x:c>
      <x:c r="E23" s="34" t="n">
        <x:v>0</x:v>
      </x:c>
      <x:c r="F23" s="34" t="n">
        <x:v>716</x:v>
      </x:c>
      <x:c r="G23" s="34" t="n">
        <x:v>51</x:v>
      </x:c>
      <x:c r="H23" s="34"/>
      <x:c r="I23" s="34"/>
      <x:c r="J23" s="34" t="str">
        <x:v>D1</x:v>
      </x:c>
      <x:c r="K23" s="34" t="str">
        <x:v>Scenario-based</x:v>
      </x:c>
      <x:c r="L23" s="34" t="str">
        <x:v>Quantity/penalty inherited from previous 40-batch design; LT shifted +300 h for China–US horizon</x:v>
      </x:c>
    </x:row>
    <x:row r="24">
      <x:c r="A24" s="34" t="n">
        <x:v>21</x:v>
      </x:c>
      <x:c r="B24" s="34" t="str">
        <x:v>Xi'an</x:v>
      </x:c>
      <x:c r="C24" s="34" t="str">
        <x:v>Chicago</x:v>
      </x:c>
      <x:c r="D24" s="34" t="n">
        <x:v>146</x:v>
      </x:c>
      <x:c r="E24" s="34" t="n">
        <x:v>0</x:v>
      </x:c>
      <x:c r="F24" s="34" t="n">
        <x:v>797</x:v>
      </x:c>
      <x:c r="G24" s="34" t="n">
        <x:v>85.82</x:v>
      </x:c>
      <x:c r="H24" s="34"/>
      <x:c r="I24" s="34"/>
      <x:c r="J24" s="34" t="str">
        <x:v>D1</x:v>
      </x:c>
      <x:c r="K24" s="34" t="str">
        <x:v>Scenario-based</x:v>
      </x:c>
      <x:c r="L24" s="34" t="str">
        <x:v>Quantity/penalty inherited from previous 40-batch design; LT shifted +300 h for China–US horizon</x:v>
      </x:c>
    </x:row>
    <x:row r="25">
      <x:c r="A25" s="34" t="n">
        <x:v>22</x:v>
      </x:c>
      <x:c r="B25" s="34" t="str">
        <x:v>Xi'an</x:v>
      </x:c>
      <x:c r="C25" s="34" t="str">
        <x:v>Chicago</x:v>
      </x:c>
      <x:c r="D25" s="34" t="n">
        <x:v>94</x:v>
      </x:c>
      <x:c r="E25" s="34" t="n">
        <x:v>0</x:v>
      </x:c>
      <x:c r="F25" s="34" t="n">
        <x:v>699</x:v>
      </x:c>
      <x:c r="G25" s="34" t="n">
        <x:v>96.28</x:v>
      </x:c>
      <x:c r="H25" s="34"/>
      <x:c r="I25" s="34"/>
      <x:c r="J25" s="34" t="str">
        <x:v>D1</x:v>
      </x:c>
      <x:c r="K25" s="34" t="str">
        <x:v>Scenario-based</x:v>
      </x:c>
      <x:c r="L25" s="34" t="str">
        <x:v>Quantity/penalty inherited from previous 40-batch design; LT shifted +300 h for China–US horizon</x:v>
      </x:c>
    </x:row>
    <x:row r="26">
      <x:c r="A26" s="34" t="n">
        <x:v>23</x:v>
      </x:c>
      <x:c r="B26" s="34" t="str">
        <x:v>Xi'an</x:v>
      </x:c>
      <x:c r="C26" s="34" t="str">
        <x:v>Chicago</x:v>
      </x:c>
      <x:c r="D26" s="34" t="n">
        <x:v>122</x:v>
      </x:c>
      <x:c r="E26" s="34" t="n">
        <x:v>0</x:v>
      </x:c>
      <x:c r="F26" s="34" t="n">
        <x:v>716</x:v>
      </x:c>
      <x:c r="G26" s="34" t="n">
        <x:v>93.03</x:v>
      </x:c>
      <x:c r="H26" s="34"/>
      <x:c r="I26" s="34"/>
      <x:c r="J26" s="34" t="str">
        <x:v>D1</x:v>
      </x:c>
      <x:c r="K26" s="34" t="str">
        <x:v>Scenario-based</x:v>
      </x:c>
      <x:c r="L26" s="34" t="str">
        <x:v>Quantity/penalty inherited from previous 40-batch design; LT shifted +300 h for China–US horizon</x:v>
      </x:c>
    </x:row>
    <x:row r="27">
      <x:c r="A27" s="34" t="n">
        <x:v>24</x:v>
      </x:c>
      <x:c r="B27" s="34" t="str">
        <x:v>Xi'an</x:v>
      </x:c>
      <x:c r="C27" s="34" t="str">
        <x:v>Chicago</x:v>
      </x:c>
      <x:c r="D27" s="34" t="n">
        <x:v>108</x:v>
      </x:c>
      <x:c r="E27" s="34" t="n">
        <x:v>0</x:v>
      </x:c>
      <x:c r="F27" s="34" t="n">
        <x:v>764</x:v>
      </x:c>
      <x:c r="G27" s="34" t="n">
        <x:v>51.97</x:v>
      </x:c>
      <x:c r="H27" s="34"/>
      <x:c r="I27" s="34"/>
      <x:c r="J27" s="34" t="str">
        <x:v>D1</x:v>
      </x:c>
      <x:c r="K27" s="34" t="str">
        <x:v>Scenario-based</x:v>
      </x:c>
      <x:c r="L27" s="34" t="str">
        <x:v>Quantity/penalty inherited from previous 40-batch design; LT shifted +300 h for China–US horizon</x:v>
      </x:c>
    </x:row>
    <x:row r="28">
      <x:c r="A28" s="34" t="n">
        <x:v>25</x:v>
      </x:c>
      <x:c r="B28" s="34" t="str">
        <x:v>Xi'an</x:v>
      </x:c>
      <x:c r="C28" s="34" t="str">
        <x:v>Chicago</x:v>
      </x:c>
      <x:c r="D28" s="34" t="n">
        <x:v>87</x:v>
      </x:c>
      <x:c r="E28" s="34" t="n">
        <x:v>0</x:v>
      </x:c>
      <x:c r="F28" s="34" t="n">
        <x:v>765</x:v>
      </x:c>
      <x:c r="G28" s="34" t="n">
        <x:v>45.95</x:v>
      </x:c>
      <x:c r="H28" s="34"/>
      <x:c r="I28" s="34"/>
      <x:c r="J28" s="34" t="str">
        <x:v>D1</x:v>
      </x:c>
      <x:c r="K28" s="34" t="str">
        <x:v>Scenario-based</x:v>
      </x:c>
      <x:c r="L28" s="34" t="str">
        <x:v>Quantity/penalty inherited from previous 40-batch design; LT shifted +300 h for China–US horizon</x:v>
      </x:c>
    </x:row>
    <x:row r="29">
      <x:c r="A29" s="34" t="n">
        <x:v>26</x:v>
      </x:c>
      <x:c r="B29" s="34" t="str">
        <x:v>Xi'an</x:v>
      </x:c>
      <x:c r="C29" s="34" t="str">
        <x:v>Chicago</x:v>
      </x:c>
      <x:c r="D29" s="34" t="n">
        <x:v>113</x:v>
      </x:c>
      <x:c r="E29" s="34" t="n">
        <x:v>0</x:v>
      </x:c>
      <x:c r="F29" s="34" t="n">
        <x:v>743</x:v>
      </x:c>
      <x:c r="G29" s="34" t="n">
        <x:v>43.22</x:v>
      </x:c>
      <x:c r="H29" s="34"/>
      <x:c r="I29" s="34"/>
      <x:c r="J29" s="34" t="str">
        <x:v>D1</x:v>
      </x:c>
      <x:c r="K29" s="34" t="str">
        <x:v>Scenario-based</x:v>
      </x:c>
      <x:c r="L29" s="34" t="str">
        <x:v>Quantity/penalty inherited from previous 40-batch design; LT shifted +300 h for China–US horizon</x:v>
      </x:c>
    </x:row>
    <x:row r="30">
      <x:c r="A30" s="34" t="n">
        <x:v>27</x:v>
      </x:c>
      <x:c r="B30" s="34" t="str">
        <x:v>Xi'an</x:v>
      </x:c>
      <x:c r="C30" s="34" t="str">
        <x:v>Chicago</x:v>
      </x:c>
      <x:c r="D30" s="34" t="n">
        <x:v>149</x:v>
      </x:c>
      <x:c r="E30" s="34" t="n">
        <x:v>0</x:v>
      </x:c>
      <x:c r="F30" s="34" t="n">
        <x:v>737</x:v>
      </x:c>
      <x:c r="G30" s="34" t="n">
        <x:v>73.51</x:v>
      </x:c>
      <x:c r="H30" s="34"/>
      <x:c r="I30" s="34"/>
      <x:c r="J30" s="34" t="str">
        <x:v>D1</x:v>
      </x:c>
      <x:c r="K30" s="34" t="str">
        <x:v>Scenario-based</x:v>
      </x:c>
      <x:c r="L30" s="34" t="str">
        <x:v>Quantity/penalty inherited from previous 40-batch design; LT shifted +300 h for China–US horizon</x:v>
      </x:c>
    </x:row>
    <x:row r="31">
      <x:c r="A31" s="34" t="n">
        <x:v>28</x:v>
      </x:c>
      <x:c r="B31" s="34" t="str">
        <x:v>Xi'an</x:v>
      </x:c>
      <x:c r="C31" s="34" t="str">
        <x:v>Chicago</x:v>
      </x:c>
      <x:c r="D31" s="34" t="n">
        <x:v>105</x:v>
      </x:c>
      <x:c r="E31" s="34" t="n">
        <x:v>0</x:v>
      </x:c>
      <x:c r="F31" s="34" t="n">
        <x:v>713</x:v>
      </x:c>
      <x:c r="G31" s="34" t="n">
        <x:v>64.64</x:v>
      </x:c>
      <x:c r="H31" s="34"/>
      <x:c r="I31" s="34"/>
      <x:c r="J31" s="34" t="str">
        <x:v>D1</x:v>
      </x:c>
      <x:c r="K31" s="34" t="str">
        <x:v>Scenario-based</x:v>
      </x:c>
      <x:c r="L31" s="34" t="str">
        <x:v>Quantity/penalty inherited from previous 40-batch design; LT shifted +300 h for China–US horizon</x:v>
      </x:c>
    </x:row>
    <x:row r="32">
      <x:c r="A32" s="34" t="n">
        <x:v>29</x:v>
      </x:c>
      <x:c r="B32" s="34" t="str">
        <x:v>Xi'an</x:v>
      </x:c>
      <x:c r="C32" s="34" t="str">
        <x:v>Chicago</x:v>
      </x:c>
      <x:c r="D32" s="34" t="n">
        <x:v>82</x:v>
      </x:c>
      <x:c r="E32" s="34" t="n">
        <x:v>0</x:v>
      </x:c>
      <x:c r="F32" s="34" t="n">
        <x:v>760</x:v>
      </x:c>
      <x:c r="G32" s="34" t="n">
        <x:v>70.4</x:v>
      </x:c>
      <x:c r="H32" s="34"/>
      <x:c r="I32" s="34"/>
      <x:c r="J32" s="34" t="str">
        <x:v>D1</x:v>
      </x:c>
      <x:c r="K32" s="34" t="str">
        <x:v>Scenario-based</x:v>
      </x:c>
      <x:c r="L32" s="34" t="str">
        <x:v>Quantity/penalty inherited from previous 40-batch design; LT shifted +300 h for China–US horizon</x:v>
      </x:c>
    </x:row>
    <x:row r="33">
      <x:c r="A33" s="34" t="n">
        <x:v>30</x:v>
      </x:c>
      <x:c r="B33" s="34" t="str">
        <x:v>Xi'an</x:v>
      </x:c>
      <x:c r="C33" s="34" t="str">
        <x:v>Chicago</x:v>
      </x:c>
      <x:c r="D33" s="34" t="n">
        <x:v>136</x:v>
      </x:c>
      <x:c r="E33" s="34" t="n">
        <x:v>0</x:v>
      </x:c>
      <x:c r="F33" s="34" t="n">
        <x:v>636</x:v>
      </x:c>
      <x:c r="G33" s="34" t="n">
        <x:v>85.58</x:v>
      </x:c>
      <x:c r="H33" s="34"/>
      <x:c r="I33" s="34"/>
      <x:c r="J33" s="34" t="str">
        <x:v>D1</x:v>
      </x:c>
      <x:c r="K33" s="34" t="str">
        <x:v>Scenario-based</x:v>
      </x:c>
      <x:c r="L33" s="34" t="str">
        <x:v>Quantity/penalty inherited from previous 40-batch design; LT shifted +300 h for China–US horizon</x:v>
      </x:c>
    </x:row>
    <x:row r="34">
      <x:c r="A34" s="34" t="n">
        <x:v>31</x:v>
      </x:c>
      <x:c r="B34" s="34" t="str">
        <x:v>Xi'an</x:v>
      </x:c>
      <x:c r="C34" s="34" t="str">
        <x:v>Chicago</x:v>
      </x:c>
      <x:c r="D34" s="34" t="n">
        <x:v>133</x:v>
      </x:c>
      <x:c r="E34" s="34" t="n">
        <x:v>0</x:v>
      </x:c>
      <x:c r="F34" s="34" t="n">
        <x:v>696</x:v>
      </x:c>
      <x:c r="G34" s="34" t="n">
        <x:v>65</x:v>
      </x:c>
      <x:c r="H34" s="34"/>
      <x:c r="I34" s="34"/>
      <x:c r="J34" s="34" t="str">
        <x:v>D1</x:v>
      </x:c>
      <x:c r="K34" s="34" t="str">
        <x:v>Scenario-based</x:v>
      </x:c>
      <x:c r="L34" s="34" t="str">
        <x:v>Quantity/penalty inherited from previous 40-batch design; LT shifted +300 h for China–US horizon</x:v>
      </x:c>
    </x:row>
    <x:row r="35">
      <x:c r="A35" s="34" t="n">
        <x:v>32</x:v>
      </x:c>
      <x:c r="B35" s="34" t="str">
        <x:v>Xi'an</x:v>
      </x:c>
      <x:c r="C35" s="34" t="str">
        <x:v>Chicago</x:v>
      </x:c>
      <x:c r="D35" s="34" t="n">
        <x:v>92</x:v>
      </x:c>
      <x:c r="E35" s="34" t="n">
        <x:v>0</x:v>
      </x:c>
      <x:c r="F35" s="34" t="n">
        <x:v>803</x:v>
      </x:c>
      <x:c r="G35" s="34" t="n">
        <x:v>99.28</x:v>
      </x:c>
      <x:c r="H35" s="34"/>
      <x:c r="I35" s="34"/>
      <x:c r="J35" s="34" t="str">
        <x:v>D1</x:v>
      </x:c>
      <x:c r="K35" s="34" t="str">
        <x:v>Scenario-based</x:v>
      </x:c>
      <x:c r="L35" s="34" t="str">
        <x:v>Quantity/penalty inherited from previous 40-batch design; LT shifted +300 h for China–US horizon</x:v>
      </x:c>
    </x:row>
    <x:row r="36">
      <x:c r="A36" s="34" t="n">
        <x:v>33</x:v>
      </x:c>
      <x:c r="B36" s="34" t="str">
        <x:v>Xi'an</x:v>
      </x:c>
      <x:c r="C36" s="34" t="str">
        <x:v>Chicago</x:v>
      </x:c>
      <x:c r="D36" s="34" t="n">
        <x:v>98</x:v>
      </x:c>
      <x:c r="E36" s="34" t="n">
        <x:v>0</x:v>
      </x:c>
      <x:c r="F36" s="34" t="n">
        <x:v>702</x:v>
      </x:c>
      <x:c r="G36" s="34" t="n">
        <x:v>81.1</x:v>
      </x:c>
      <x:c r="H36" s="34"/>
      <x:c r="I36" s="34"/>
      <x:c r="J36" s="34" t="str">
        <x:v>D1</x:v>
      </x:c>
      <x:c r="K36" s="34" t="str">
        <x:v>Scenario-based</x:v>
      </x:c>
      <x:c r="L36" s="34" t="str">
        <x:v>Quantity/penalty inherited from previous 40-batch design; LT shifted +300 h for China–US horizon</x:v>
      </x:c>
    </x:row>
    <x:row r="37">
      <x:c r="A37" s="34" t="n">
        <x:v>34</x:v>
      </x:c>
      <x:c r="B37" s="34" t="str">
        <x:v>Xi'an</x:v>
      </x:c>
      <x:c r="C37" s="34" t="str">
        <x:v>Chicago</x:v>
      </x:c>
      <x:c r="D37" s="34" t="n">
        <x:v>106</x:v>
      </x:c>
      <x:c r="E37" s="34" t="n">
        <x:v>0</x:v>
      </x:c>
      <x:c r="F37" s="34" t="n">
        <x:v>740</x:v>
      </x:c>
      <x:c r="G37" s="34" t="n">
        <x:v>59.16</x:v>
      </x:c>
      <x:c r="H37" s="34"/>
      <x:c r="I37" s="34"/>
      <x:c r="J37" s="34" t="str">
        <x:v>D1</x:v>
      </x:c>
      <x:c r="K37" s="34" t="str">
        <x:v>Scenario-based</x:v>
      </x:c>
      <x:c r="L37" s="34" t="str">
        <x:v>Quantity/penalty inherited from previous 40-batch design; LT shifted +300 h for China–US horizon</x:v>
      </x:c>
    </x:row>
    <x:row r="38">
      <x:c r="A38" s="34" t="n">
        <x:v>35</x:v>
      </x:c>
      <x:c r="B38" s="34" t="str">
        <x:v>Xi'an</x:v>
      </x:c>
      <x:c r="C38" s="34" t="str">
        <x:v>Chicago</x:v>
      </x:c>
      <x:c r="D38" s="34" t="n">
        <x:v>116</x:v>
      </x:c>
      <x:c r="E38" s="34" t="n">
        <x:v>0</x:v>
      </x:c>
      <x:c r="F38" s="34" t="n">
        <x:v>813</x:v>
      </x:c>
      <x:c r="G38" s="34" t="n">
        <x:v>92.19</x:v>
      </x:c>
      <x:c r="H38" s="34"/>
      <x:c r="I38" s="34"/>
      <x:c r="J38" s="34" t="str">
        <x:v>D1</x:v>
      </x:c>
      <x:c r="K38" s="34" t="str">
        <x:v>Scenario-based</x:v>
      </x:c>
      <x:c r="L38" s="34" t="str">
        <x:v>Quantity/penalty inherited from previous 40-batch design; LT shifted +300 h for China–US horizon</x:v>
      </x:c>
    </x:row>
    <x:row r="39">
      <x:c r="A39" s="34" t="n">
        <x:v>36</x:v>
      </x:c>
      <x:c r="B39" s="34" t="str">
        <x:v>Xi'an</x:v>
      </x:c>
      <x:c r="C39" s="34" t="str">
        <x:v>Chicago</x:v>
      </x:c>
      <x:c r="D39" s="34" t="n">
        <x:v>101</x:v>
      </x:c>
      <x:c r="E39" s="34" t="n">
        <x:v>0</x:v>
      </x:c>
      <x:c r="F39" s="34" t="n">
        <x:v>665</x:v>
      </x:c>
      <x:c r="G39" s="34" t="n">
        <x:v>96.29</x:v>
      </x:c>
      <x:c r="H39" s="34"/>
      <x:c r="I39" s="34"/>
      <x:c r="J39" s="34" t="str">
        <x:v>D1</x:v>
      </x:c>
      <x:c r="K39" s="34" t="str">
        <x:v>Scenario-based</x:v>
      </x:c>
      <x:c r="L39" s="34" t="str">
        <x:v>Quantity/penalty inherited from previous 40-batch design; LT shifted +300 h for China–US horizon</x:v>
      </x:c>
    </x:row>
    <x:row r="40">
      <x:c r="A40" s="34" t="n">
        <x:v>37</x:v>
      </x:c>
      <x:c r="B40" s="34" t="str">
        <x:v>Xi'an</x:v>
      </x:c>
      <x:c r="C40" s="34" t="str">
        <x:v>Chicago</x:v>
      </x:c>
      <x:c r="D40" s="34" t="n">
        <x:v>82</x:v>
      </x:c>
      <x:c r="E40" s="34" t="n">
        <x:v>0</x:v>
      </x:c>
      <x:c r="F40" s="34" t="n">
        <x:v>691</x:v>
      </x:c>
      <x:c r="G40" s="34" t="n">
        <x:v>49.71</x:v>
      </x:c>
      <x:c r="H40" s="34"/>
      <x:c r="I40" s="34"/>
      <x:c r="J40" s="34" t="str">
        <x:v>D1</x:v>
      </x:c>
      <x:c r="K40" s="34" t="str">
        <x:v>Scenario-based</x:v>
      </x:c>
      <x:c r="L40" s="34" t="str">
        <x:v>Quantity/penalty inherited from previous 40-batch design; LT shifted +300 h for China–US horizon</x:v>
      </x:c>
    </x:row>
    <x:row r="41">
      <x:c r="A41" s="34" t="n">
        <x:v>38</x:v>
      </x:c>
      <x:c r="B41" s="34" t="str">
        <x:v>Xi'an</x:v>
      </x:c>
      <x:c r="C41" s="34" t="str">
        <x:v>Chicago</x:v>
      </x:c>
      <x:c r="D41" s="34" t="n">
        <x:v>84</x:v>
      </x:c>
      <x:c r="E41" s="34" t="n">
        <x:v>0</x:v>
      </x:c>
      <x:c r="F41" s="34" t="n">
        <x:v>726</x:v>
      </x:c>
      <x:c r="G41" s="34" t="n">
        <x:v>36.5</x:v>
      </x:c>
      <x:c r="H41" s="34"/>
      <x:c r="I41" s="34"/>
      <x:c r="J41" s="34" t="str">
        <x:v>D1</x:v>
      </x:c>
      <x:c r="K41" s="34" t="str">
        <x:v>Scenario-based</x:v>
      </x:c>
      <x:c r="L41" s="34" t="str">
        <x:v>Quantity/penalty inherited from previous 40-batch design; LT shifted +300 h for China–US horizon</x:v>
      </x:c>
    </x:row>
    <x:row r="42">
      <x:c r="A42" s="34" t="n">
        <x:v>39</x:v>
      </x:c>
      <x:c r="B42" s="34" t="str">
        <x:v>Xi'an</x:v>
      </x:c>
      <x:c r="C42" s="34" t="str">
        <x:v>Chicago</x:v>
      </x:c>
      <x:c r="D42" s="34" t="n">
        <x:v>140</x:v>
      </x:c>
      <x:c r="E42" s="34" t="n">
        <x:v>0</x:v>
      </x:c>
      <x:c r="F42" s="34" t="n">
        <x:v>747</x:v>
      </x:c>
      <x:c r="G42" s="34" t="n">
        <x:v>64.4</x:v>
      </x:c>
      <x:c r="H42" s="34"/>
      <x:c r="I42" s="34"/>
      <x:c r="J42" s="34" t="str">
        <x:v>D1</x:v>
      </x:c>
      <x:c r="K42" s="34" t="str">
        <x:v>Scenario-based</x:v>
      </x:c>
      <x:c r="L42" s="34" t="str">
        <x:v>Quantity/penalty inherited from previous 40-batch design; LT shifted +300 h for China–US horizon</x:v>
      </x:c>
    </x:row>
    <x:row r="43">
      <x:c r="A43" s="34" t="n">
        <x:v>40</x:v>
      </x:c>
      <x:c r="B43" s="34" t="str">
        <x:v>Xi'an</x:v>
      </x:c>
      <x:c r="C43" s="34" t="str">
        <x:v>Chicago</x:v>
      </x:c>
      <x:c r="D43" s="34" t="n">
        <x:v>113</x:v>
      </x:c>
      <x:c r="E43" s="34" t="n">
        <x:v>0</x:v>
      </x:c>
      <x:c r="F43" s="34" t="n">
        <x:v>740</x:v>
      </x:c>
      <x:c r="G43" s="34" t="n">
        <x:v>92.33</x:v>
      </x:c>
      <x:c r="H43" s="34"/>
      <x:c r="I43" s="34"/>
      <x:c r="J43" s="34" t="str">
        <x:v>D1</x:v>
      </x:c>
      <x:c r="K43" s="34" t="str">
        <x:v>Scenario-based</x:v>
      </x:c>
      <x:c r="L43" s="34" t="str">
        <x:v>Quantity/penalty inherited from previous 40-batch design; LT shifted +300 h for China–US horizon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77f1d9cf85846ea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14" hidden="0" customWidth="1"/>
    <x:col min="5" max="5" width="10" hidden="0" customWidth="1"/>
    <x:col min="6" max="6" width="10" hidden="0" customWidth="1"/>
    <x:col min="7" max="7" width="24" hidden="0" customWidth="1"/>
    <x:col min="8" max="8" width="32" hidden="0" customWidth="1"/>
    <x:col min="9" max="9" width="24" hidden="0" customWidth="1"/>
    <x:col min="10" max="10" width="10" hidden="0" customWidth="1"/>
    <x:col min="11" max="11" width="20" hidden="0" customWidth="1"/>
    <x:col min="12" max="12" width="60" hidden="0" customWidth="1"/>
  </x:cols>
  <x:sheetData>
    <x:row r="1">
      <x:c r="A1" s="46" t="str">
        <x:v>40-batch case — Xi'an → Memphis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3">
      <x:c r="A3" s="51" t="str">
        <x:v>BatchID</x:v>
      </x:c>
      <x:c r="B3" s="51" t="str">
        <x:v>OriginEN</x:v>
      </x:c>
      <x:c r="C3" s="51" t="str">
        <x:v>DestEN</x:v>
      </x:c>
      <x:c r="D3" s="51" t="str">
        <x:v>QuantityTEU</x:v>
      </x:c>
      <x:c r="E3" s="51" t="str">
        <x:v>ET</x:v>
      </x:c>
      <x:c r="F3" s="51" t="str">
        <x:v>LT</x:v>
      </x:c>
      <x:c r="G3" s="51" t="str">
        <x:v>PenaltyCost_per_TEU_h</x:v>
      </x:c>
      <x:c r="H3" s="51" t="str">
        <x:v>DefaultRoute_Nodes</x:v>
      </x:c>
      <x:c r="I3" s="51" t="str">
        <x:v>DefaultRoute_Modes</x:v>
      </x:c>
      <x:c r="J3" s="51" t="str">
        <x:v>CaseID</x:v>
      </x:c>
      <x:c r="K3" s="51" t="str">
        <x:v>DataStatus</x:v>
      </x:c>
      <x:c r="L3" s="51" t="str">
        <x:v>Notes</x:v>
      </x:c>
    </x:row>
    <x:row r="4">
      <x:c r="A4" s="34" t="n">
        <x:v>1</x:v>
      </x:c>
      <x:c r="B4" s="34" t="str">
        <x:v>Xi'an</x:v>
      </x:c>
      <x:c r="C4" s="34" t="str">
        <x:v>Memphis</x:v>
      </x:c>
      <x:c r="D4" s="34" t="n">
        <x:v>120</x:v>
      </x:c>
      <x:c r="E4" s="34" t="n">
        <x:v>0</x:v>
      </x:c>
      <x:c r="F4" s="34" t="n">
        <x:v>660</x:v>
      </x:c>
      <x:c r="G4" s="34" t="n">
        <x:v>100</x:v>
      </x:c>
      <x:c r="H4" s="34"/>
      <x:c r="I4" s="34"/>
      <x:c r="J4" s="34" t="str">
        <x:v>D2</x:v>
      </x:c>
      <x:c r="K4" s="34" t="str">
        <x:v>Scenario-based</x:v>
      </x:c>
      <x:c r="L4" s="34" t="str">
        <x:v>Quantity/penalty inherited from previous 40-batch design; LT shifted +300 h for China–US horizon</x:v>
      </x:c>
    </x:row>
    <x:row r="5">
      <x:c r="A5" s="34" t="n">
        <x:v>2</x:v>
      </x:c>
      <x:c r="B5" s="34" t="str">
        <x:v>Xi'an</x:v>
      </x:c>
      <x:c r="C5" s="34" t="str">
        <x:v>Memphis</x:v>
      </x:c>
      <x:c r="D5" s="34" t="n">
        <x:v>110</x:v>
      </x:c>
      <x:c r="E5" s="34" t="n">
        <x:v>0</x:v>
      </x:c>
      <x:c r="F5" s="34" t="n">
        <x:v>672</x:v>
      </x:c>
      <x:c r="G5" s="34" t="n">
        <x:v>92.22</x:v>
      </x:c>
      <x:c r="H5" s="34"/>
      <x:c r="I5" s="34"/>
      <x:c r="J5" s="34" t="str">
        <x:v>D2</x:v>
      </x:c>
      <x:c r="K5" s="34" t="str">
        <x:v>Scenario-based</x:v>
      </x:c>
      <x:c r="L5" s="34" t="str">
        <x:v>Quantity/penalty inherited from previous 40-batch design; LT shifted +300 h for China–US horizon</x:v>
      </x:c>
    </x:row>
    <x:row r="6">
      <x:c r="A6" s="34" t="n">
        <x:v>3</x:v>
      </x:c>
      <x:c r="B6" s="34" t="str">
        <x:v>Xi'an</x:v>
      </x:c>
      <x:c r="C6" s="34" t="str">
        <x:v>Memphis</x:v>
      </x:c>
      <x:c r="D6" s="34" t="n">
        <x:v>100</x:v>
      </x:c>
      <x:c r="E6" s="34" t="n">
        <x:v>0</x:v>
      </x:c>
      <x:c r="F6" s="34" t="n">
        <x:v>684</x:v>
      </x:c>
      <x:c r="G6" s="34" t="n">
        <x:v>84.44</x:v>
      </x:c>
      <x:c r="H6" s="34"/>
      <x:c r="I6" s="34"/>
      <x:c r="J6" s="34" t="str">
        <x:v>D2</x:v>
      </x:c>
      <x:c r="K6" s="34" t="str">
        <x:v>Scenario-based</x:v>
      </x:c>
      <x:c r="L6" s="34" t="str">
        <x:v>Quantity/penalty inherited from previous 40-batch design; LT shifted +300 h for China–US horizon</x:v>
      </x:c>
    </x:row>
    <x:row r="7">
      <x:c r="A7" s="34" t="n">
        <x:v>4</x:v>
      </x:c>
      <x:c r="B7" s="34" t="str">
        <x:v>Xi'an</x:v>
      </x:c>
      <x:c r="C7" s="34" t="str">
        <x:v>Memphis</x:v>
      </x:c>
      <x:c r="D7" s="34" t="n">
        <x:v>95</x:v>
      </x:c>
      <x:c r="E7" s="34" t="n">
        <x:v>0</x:v>
      </x:c>
      <x:c r="F7" s="34" t="n">
        <x:v>696</x:v>
      </x:c>
      <x:c r="G7" s="34" t="n">
        <x:v>76.67</x:v>
      </x:c>
      <x:c r="H7" s="34"/>
      <x:c r="I7" s="34"/>
      <x:c r="J7" s="34" t="str">
        <x:v>D2</x:v>
      </x:c>
      <x:c r="K7" s="34" t="str">
        <x:v>Scenario-based</x:v>
      </x:c>
      <x:c r="L7" s="34" t="str">
        <x:v>Quantity/penalty inherited from previous 40-batch design; LT shifted +300 h for China–US horizon</x:v>
      </x:c>
    </x:row>
    <x:row r="8">
      <x:c r="A8" s="34" t="n">
        <x:v>5</x:v>
      </x:c>
      <x:c r="B8" s="34" t="str">
        <x:v>Xi'an</x:v>
      </x:c>
      <x:c r="C8" s="34" t="str">
        <x:v>Memphis</x:v>
      </x:c>
      <x:c r="D8" s="34" t="n">
        <x:v>130</x:v>
      </x:c>
      <x:c r="E8" s="34" t="n">
        <x:v>0</x:v>
      </x:c>
      <x:c r="F8" s="34" t="n">
        <x:v>708</x:v>
      </x:c>
      <x:c r="G8" s="34" t="n">
        <x:v>68.89</x:v>
      </x:c>
      <x:c r="H8" s="34"/>
      <x:c r="I8" s="34"/>
      <x:c r="J8" s="34" t="str">
        <x:v>D2</x:v>
      </x:c>
      <x:c r="K8" s="34" t="str">
        <x:v>Scenario-based</x:v>
      </x:c>
      <x:c r="L8" s="34" t="str">
        <x:v>Quantity/penalty inherited from previous 40-batch design; LT shifted +300 h for China–US horizon</x:v>
      </x:c>
    </x:row>
    <x:row r="9">
      <x:c r="A9" s="34" t="n">
        <x:v>6</x:v>
      </x:c>
      <x:c r="B9" s="34" t="str">
        <x:v>Xi'an</x:v>
      </x:c>
      <x:c r="C9" s="34" t="str">
        <x:v>Memphis</x:v>
      </x:c>
      <x:c r="D9" s="34" t="n">
        <x:v>115</x:v>
      </x:c>
      <x:c r="E9" s="34" t="n">
        <x:v>0</x:v>
      </x:c>
      <x:c r="F9" s="34" t="n">
        <x:v>720</x:v>
      </x:c>
      <x:c r="G9" s="34" t="n">
        <x:v>61.11</x:v>
      </x:c>
      <x:c r="H9" s="34"/>
      <x:c r="I9" s="34"/>
      <x:c r="J9" s="34" t="str">
        <x:v>D2</x:v>
      </x:c>
      <x:c r="K9" s="34" t="str">
        <x:v>Scenario-based</x:v>
      </x:c>
      <x:c r="L9" s="34" t="str">
        <x:v>Quantity/penalty inherited from previous 40-batch design; LT shifted +300 h for China–US horizon</x:v>
      </x:c>
    </x:row>
    <x:row r="10">
      <x:c r="A10" s="34" t="n">
        <x:v>7</x:v>
      </x:c>
      <x:c r="B10" s="34" t="str">
        <x:v>Xi'an</x:v>
      </x:c>
      <x:c r="C10" s="34" t="str">
        <x:v>Memphis</x:v>
      </x:c>
      <x:c r="D10" s="34" t="n">
        <x:v>105</x:v>
      </x:c>
      <x:c r="E10" s="34" t="n">
        <x:v>0</x:v>
      </x:c>
      <x:c r="F10" s="34" t="n">
        <x:v>732</x:v>
      </x:c>
      <x:c r="G10" s="34" t="n">
        <x:v>53.33</x:v>
      </x:c>
      <x:c r="H10" s="34"/>
      <x:c r="I10" s="34"/>
      <x:c r="J10" s="34" t="str">
        <x:v>D2</x:v>
      </x:c>
      <x:c r="K10" s="34" t="str">
        <x:v>Scenario-based</x:v>
      </x:c>
      <x:c r="L10" s="34" t="str">
        <x:v>Quantity/penalty inherited from previous 40-batch design; LT shifted +300 h for China–US horizon</x:v>
      </x:c>
    </x:row>
    <x:row r="11">
      <x:c r="A11" s="34" t="n">
        <x:v>8</x:v>
      </x:c>
      <x:c r="B11" s="34" t="str">
        <x:v>Xi'an</x:v>
      </x:c>
      <x:c r="C11" s="34" t="str">
        <x:v>Memphis</x:v>
      </x:c>
      <x:c r="D11" s="34" t="n">
        <x:v>90</x:v>
      </x:c>
      <x:c r="E11" s="34" t="n">
        <x:v>0</x:v>
      </x:c>
      <x:c r="F11" s="34" t="n">
        <x:v>744</x:v>
      </x:c>
      <x:c r="G11" s="34" t="n">
        <x:v>45.56</x:v>
      </x:c>
      <x:c r="H11" s="34"/>
      <x:c r="I11" s="34"/>
      <x:c r="J11" s="34" t="str">
        <x:v>D2</x:v>
      </x:c>
      <x:c r="K11" s="34" t="str">
        <x:v>Scenario-based</x:v>
      </x:c>
      <x:c r="L11" s="34" t="str">
        <x:v>Quantity/penalty inherited from previous 40-batch design; LT shifted +300 h for China–US horizon</x:v>
      </x:c>
    </x:row>
    <x:row r="12">
      <x:c r="A12" s="34" t="n">
        <x:v>9</x:v>
      </x:c>
      <x:c r="B12" s="34" t="str">
        <x:v>Xi'an</x:v>
      </x:c>
      <x:c r="C12" s="34" t="str">
        <x:v>Memphis</x:v>
      </x:c>
      <x:c r="D12" s="34" t="n">
        <x:v>125</x:v>
      </x:c>
      <x:c r="E12" s="34" t="n">
        <x:v>0</x:v>
      </x:c>
      <x:c r="F12" s="34" t="n">
        <x:v>756</x:v>
      </x:c>
      <x:c r="G12" s="34" t="n">
        <x:v>37.78</x:v>
      </x:c>
      <x:c r="H12" s="34"/>
      <x:c r="I12" s="34"/>
      <x:c r="J12" s="34" t="str">
        <x:v>D2</x:v>
      </x:c>
      <x:c r="K12" s="34" t="str">
        <x:v>Scenario-based</x:v>
      </x:c>
      <x:c r="L12" s="34" t="str">
        <x:v>Quantity/penalty inherited from previous 40-batch design; LT shifted +300 h for China–US horizon</x:v>
      </x:c>
    </x:row>
    <x:row r="13">
      <x:c r="A13" s="34" t="n">
        <x:v>10</x:v>
      </x:c>
      <x:c r="B13" s="34" t="str">
        <x:v>Xi'an</x:v>
      </x:c>
      <x:c r="C13" s="34" t="str">
        <x:v>Memphis</x:v>
      </x:c>
      <x:c r="D13" s="34" t="n">
        <x:v>140</x:v>
      </x:c>
      <x:c r="E13" s="34" t="n">
        <x:v>0</x:v>
      </x:c>
      <x:c r="F13" s="34" t="n">
        <x:v>768</x:v>
      </x:c>
      <x:c r="G13" s="34" t="n">
        <x:v>30</x:v>
      </x:c>
      <x:c r="H13" s="34"/>
      <x:c r="I13" s="34"/>
      <x:c r="J13" s="34" t="str">
        <x:v>D2</x:v>
      </x:c>
      <x:c r="K13" s="34" t="str">
        <x:v>Scenario-based</x:v>
      </x:c>
      <x:c r="L13" s="34" t="str">
        <x:v>Quantity/penalty inherited from previous 40-batch design; LT shifted +300 h for China–US horizon</x:v>
      </x:c>
    </x:row>
    <x:row r="14">
      <x:c r="A14" s="34" t="n">
        <x:v>11</x:v>
      </x:c>
      <x:c r="B14" s="34" t="str">
        <x:v>Xi'an</x:v>
      </x:c>
      <x:c r="C14" s="34" t="str">
        <x:v>Memphis</x:v>
      </x:c>
      <x:c r="D14" s="34" t="n">
        <x:v>81</x:v>
      </x:c>
      <x:c r="E14" s="34" t="n">
        <x:v>0</x:v>
      </x:c>
      <x:c r="F14" s="34" t="n">
        <x:v>754</x:v>
      </x:c>
      <x:c r="G14" s="34" t="n">
        <x:v>62.71</x:v>
      </x:c>
      <x:c r="H14" s="34"/>
      <x:c r="I14" s="34"/>
      <x:c r="J14" s="34" t="str">
        <x:v>D2</x:v>
      </x:c>
      <x:c r="K14" s="34" t="str">
        <x:v>Scenario-based</x:v>
      </x:c>
      <x:c r="L14" s="34" t="str">
        <x:v>Quantity/penalty inherited from previous 40-batch design; LT shifted +300 h for China–US horizon</x:v>
      </x:c>
    </x:row>
    <x:row r="15">
      <x:c r="A15" s="34" t="n">
        <x:v>12</x:v>
      </x:c>
      <x:c r="B15" s="34" t="str">
        <x:v>Xi'an</x:v>
      </x:c>
      <x:c r="C15" s="34" t="str">
        <x:v>Memphis</x:v>
      </x:c>
      <x:c r="D15" s="34" t="n">
        <x:v>125</x:v>
      </x:c>
      <x:c r="E15" s="34" t="n">
        <x:v>0</x:v>
      </x:c>
      <x:c r="F15" s="34" t="n">
        <x:v>701</x:v>
      </x:c>
      <x:c r="G15" s="34" t="n">
        <x:v>85.34</x:v>
      </x:c>
      <x:c r="H15" s="34"/>
      <x:c r="I15" s="34"/>
      <x:c r="J15" s="34" t="str">
        <x:v>D2</x:v>
      </x:c>
      <x:c r="K15" s="34" t="str">
        <x:v>Scenario-based</x:v>
      </x:c>
      <x:c r="L15" s="34" t="str">
        <x:v>Quantity/penalty inherited from previous 40-batch design; LT shifted +300 h for China–US horizon</x:v>
      </x:c>
    </x:row>
    <x:row r="16">
      <x:c r="A16" s="34" t="n">
        <x:v>13</x:v>
      </x:c>
      <x:c r="B16" s="34" t="str">
        <x:v>Xi'an</x:v>
      </x:c>
      <x:c r="C16" s="34" t="str">
        <x:v>Memphis</x:v>
      </x:c>
      <x:c r="D16" s="34" t="n">
        <x:v>131</x:v>
      </x:c>
      <x:c r="E16" s="34" t="n">
        <x:v>0</x:v>
      </x:c>
      <x:c r="F16" s="34" t="n">
        <x:v>668</x:v>
      </x:c>
      <x:c r="G16" s="34" t="n">
        <x:v>75.69</x:v>
      </x:c>
      <x:c r="H16" s="34"/>
      <x:c r="I16" s="34"/>
      <x:c r="J16" s="34" t="str">
        <x:v>D2</x:v>
      </x:c>
      <x:c r="K16" s="34" t="str">
        <x:v>Scenario-based</x:v>
      </x:c>
      <x:c r="L16" s="34" t="str">
        <x:v>Quantity/penalty inherited from previous 40-batch design; LT shifted +300 h for China–US horizon</x:v>
      </x:c>
    </x:row>
    <x:row r="17">
      <x:c r="A17" s="34" t="n">
        <x:v>14</x:v>
      </x:c>
      <x:c r="B17" s="34" t="str">
        <x:v>Xi'an</x:v>
      </x:c>
      <x:c r="C17" s="34" t="str">
        <x:v>Memphis</x:v>
      </x:c>
      <x:c r="D17" s="34" t="n">
        <x:v>91</x:v>
      </x:c>
      <x:c r="E17" s="34" t="n">
        <x:v>0</x:v>
      </x:c>
      <x:c r="F17" s="34" t="n">
        <x:v>814</x:v>
      </x:c>
      <x:c r="G17" s="34" t="n">
        <x:v>94.39</x:v>
      </x:c>
      <x:c r="H17" s="34"/>
      <x:c r="I17" s="34"/>
      <x:c r="J17" s="34" t="str">
        <x:v>D2</x:v>
      </x:c>
      <x:c r="K17" s="34" t="str">
        <x:v>Scenario-based</x:v>
      </x:c>
      <x:c r="L17" s="34" t="str">
        <x:v>Quantity/penalty inherited from previous 40-batch design; LT shifted +300 h for China–US horizon</x:v>
      </x:c>
    </x:row>
    <x:row r="18">
      <x:c r="A18" s="34" t="n">
        <x:v>15</x:v>
      </x:c>
      <x:c r="B18" s="34" t="str">
        <x:v>Xi'an</x:v>
      </x:c>
      <x:c r="C18" s="34" t="str">
        <x:v>Memphis</x:v>
      </x:c>
      <x:c r="D18" s="34" t="n">
        <x:v>122</x:v>
      </x:c>
      <x:c r="E18" s="34" t="n">
        <x:v>0</x:v>
      </x:c>
      <x:c r="F18" s="34" t="n">
        <x:v>775</x:v>
      </x:c>
      <x:c r="G18" s="34" t="n">
        <x:v>66.06</x:v>
      </x:c>
      <x:c r="H18" s="34"/>
      <x:c r="I18" s="34"/>
      <x:c r="J18" s="34" t="str">
        <x:v>D2</x:v>
      </x:c>
      <x:c r="K18" s="34" t="str">
        <x:v>Scenario-based</x:v>
      </x:c>
      <x:c r="L18" s="34" t="str">
        <x:v>Quantity/penalty inherited from previous 40-batch design; LT shifted +300 h for China–US horizon</x:v>
      </x:c>
    </x:row>
    <x:row r="19">
      <x:c r="A19" s="34" t="n">
        <x:v>16</x:v>
      </x:c>
      <x:c r="B19" s="34" t="str">
        <x:v>Xi'an</x:v>
      </x:c>
      <x:c r="C19" s="34" t="str">
        <x:v>Memphis</x:v>
      </x:c>
      <x:c r="D19" s="34" t="n">
        <x:v>126</x:v>
      </x:c>
      <x:c r="E19" s="34" t="n">
        <x:v>0</x:v>
      </x:c>
      <x:c r="F19" s="34" t="n">
        <x:v>718</x:v>
      </x:c>
      <x:c r="G19" s="34" t="n">
        <x:v>53.72</x:v>
      </x:c>
      <x:c r="H19" s="34"/>
      <x:c r="I19" s="34"/>
      <x:c r="J19" s="34" t="str">
        <x:v>D2</x:v>
      </x:c>
      <x:c r="K19" s="34" t="str">
        <x:v>Scenario-based</x:v>
      </x:c>
      <x:c r="L19" s="34" t="str">
        <x:v>Quantity/penalty inherited from previous 40-batch design; LT shifted +300 h for China–US horizon</x:v>
      </x:c>
    </x:row>
    <x:row r="20">
      <x:c r="A20" s="34" t="n">
        <x:v>17</x:v>
      </x:c>
      <x:c r="B20" s="34" t="str">
        <x:v>Xi'an</x:v>
      </x:c>
      <x:c r="C20" s="34" t="str">
        <x:v>Memphis</x:v>
      </x:c>
      <x:c r="D20" s="34" t="n">
        <x:v>90</x:v>
      </x:c>
      <x:c r="E20" s="34" t="n">
        <x:v>0</x:v>
      </x:c>
      <x:c r="F20" s="34" t="n">
        <x:v>677</x:v>
      </x:c>
      <x:c r="G20" s="34" t="n">
        <x:v>66.81</x:v>
      </x:c>
      <x:c r="H20" s="34"/>
      <x:c r="I20" s="34"/>
      <x:c r="J20" s="34" t="str">
        <x:v>D2</x:v>
      </x:c>
      <x:c r="K20" s="34" t="str">
        <x:v>Scenario-based</x:v>
      </x:c>
      <x:c r="L20" s="34" t="str">
        <x:v>Quantity/penalty inherited from previous 40-batch design; LT shifted +300 h for China–US horizon</x:v>
      </x:c>
    </x:row>
    <x:row r="21">
      <x:c r="A21" s="34" t="n">
        <x:v>18</x:v>
      </x:c>
      <x:c r="B21" s="34" t="str">
        <x:v>Xi'an</x:v>
      </x:c>
      <x:c r="C21" s="34" t="str">
        <x:v>Memphis</x:v>
      </x:c>
      <x:c r="D21" s="34" t="n">
        <x:v>99</x:v>
      </x:c>
      <x:c r="E21" s="34" t="n">
        <x:v>0</x:v>
      </x:c>
      <x:c r="F21" s="34" t="n">
        <x:v>758</x:v>
      </x:c>
      <x:c r="G21" s="34" t="n">
        <x:v>30.9</x:v>
      </x:c>
      <x:c r="H21" s="34"/>
      <x:c r="I21" s="34"/>
      <x:c r="J21" s="34" t="str">
        <x:v>D2</x:v>
      </x:c>
      <x:c r="K21" s="34" t="str">
        <x:v>Scenario-based</x:v>
      </x:c>
      <x:c r="L21" s="34" t="str">
        <x:v>Quantity/penalty inherited from previous 40-batch design; LT shifted +300 h for China–US horizon</x:v>
      </x:c>
    </x:row>
    <x:row r="22">
      <x:c r="A22" s="34" t="n">
        <x:v>19</x:v>
      </x:c>
      <x:c r="B22" s="34" t="str">
        <x:v>Xi'an</x:v>
      </x:c>
      <x:c r="C22" s="34" t="str">
        <x:v>Memphis</x:v>
      </x:c>
      <x:c r="D22" s="34" t="n">
        <x:v>150</x:v>
      </x:c>
      <x:c r="E22" s="34" t="n">
        <x:v>0</x:v>
      </x:c>
      <x:c r="F22" s="34" t="n">
        <x:v>703</x:v>
      </x:c>
      <x:c r="G22" s="34" t="n">
        <x:v>43.68</x:v>
      </x:c>
      <x:c r="H22" s="34"/>
      <x:c r="I22" s="34"/>
      <x:c r="J22" s="34" t="str">
        <x:v>D2</x:v>
      </x:c>
      <x:c r="K22" s="34" t="str">
        <x:v>Scenario-based</x:v>
      </x:c>
      <x:c r="L22" s="34" t="str">
        <x:v>Quantity/penalty inherited from previous 40-batch design; LT shifted +300 h for China–US horizon</x:v>
      </x:c>
    </x:row>
    <x:row r="23">
      <x:c r="A23" s="34" t="n">
        <x:v>20</x:v>
      </x:c>
      <x:c r="B23" s="34" t="str">
        <x:v>Xi'an</x:v>
      </x:c>
      <x:c r="C23" s="34" t="str">
        <x:v>Memphis</x:v>
      </x:c>
      <x:c r="D23" s="34" t="n">
        <x:v>103</x:v>
      </x:c>
      <x:c r="E23" s="34" t="n">
        <x:v>0</x:v>
      </x:c>
      <x:c r="F23" s="34" t="n">
        <x:v>716</x:v>
      </x:c>
      <x:c r="G23" s="34" t="n">
        <x:v>51</x:v>
      </x:c>
      <x:c r="H23" s="34"/>
      <x:c r="I23" s="34"/>
      <x:c r="J23" s="34" t="str">
        <x:v>D2</x:v>
      </x:c>
      <x:c r="K23" s="34" t="str">
        <x:v>Scenario-based</x:v>
      </x:c>
      <x:c r="L23" s="34" t="str">
        <x:v>Quantity/penalty inherited from previous 40-batch design; LT shifted +300 h for China–US horizon</x:v>
      </x:c>
    </x:row>
    <x:row r="24">
      <x:c r="A24" s="34" t="n">
        <x:v>21</x:v>
      </x:c>
      <x:c r="B24" s="34" t="str">
        <x:v>Xi'an</x:v>
      </x:c>
      <x:c r="C24" s="34" t="str">
        <x:v>Memphis</x:v>
      </x:c>
      <x:c r="D24" s="34" t="n">
        <x:v>146</x:v>
      </x:c>
      <x:c r="E24" s="34" t="n">
        <x:v>0</x:v>
      </x:c>
      <x:c r="F24" s="34" t="n">
        <x:v>797</x:v>
      </x:c>
      <x:c r="G24" s="34" t="n">
        <x:v>85.82</x:v>
      </x:c>
      <x:c r="H24" s="34"/>
      <x:c r="I24" s="34"/>
      <x:c r="J24" s="34" t="str">
        <x:v>D2</x:v>
      </x:c>
      <x:c r="K24" s="34" t="str">
        <x:v>Scenario-based</x:v>
      </x:c>
      <x:c r="L24" s="34" t="str">
        <x:v>Quantity/penalty inherited from previous 40-batch design; LT shifted +300 h for China–US horizon</x:v>
      </x:c>
    </x:row>
    <x:row r="25">
      <x:c r="A25" s="34" t="n">
        <x:v>22</x:v>
      </x:c>
      <x:c r="B25" s="34" t="str">
        <x:v>Xi'an</x:v>
      </x:c>
      <x:c r="C25" s="34" t="str">
        <x:v>Memphis</x:v>
      </x:c>
      <x:c r="D25" s="34" t="n">
        <x:v>94</x:v>
      </x:c>
      <x:c r="E25" s="34" t="n">
        <x:v>0</x:v>
      </x:c>
      <x:c r="F25" s="34" t="n">
        <x:v>699</x:v>
      </x:c>
      <x:c r="G25" s="34" t="n">
        <x:v>96.28</x:v>
      </x:c>
      <x:c r="H25" s="34"/>
      <x:c r="I25" s="34"/>
      <x:c r="J25" s="34" t="str">
        <x:v>D2</x:v>
      </x:c>
      <x:c r="K25" s="34" t="str">
        <x:v>Scenario-based</x:v>
      </x:c>
      <x:c r="L25" s="34" t="str">
        <x:v>Quantity/penalty inherited from previous 40-batch design; LT shifted +300 h for China–US horizon</x:v>
      </x:c>
    </x:row>
    <x:row r="26">
      <x:c r="A26" s="34" t="n">
        <x:v>23</x:v>
      </x:c>
      <x:c r="B26" s="34" t="str">
        <x:v>Xi'an</x:v>
      </x:c>
      <x:c r="C26" s="34" t="str">
        <x:v>Memphis</x:v>
      </x:c>
      <x:c r="D26" s="34" t="n">
        <x:v>122</x:v>
      </x:c>
      <x:c r="E26" s="34" t="n">
        <x:v>0</x:v>
      </x:c>
      <x:c r="F26" s="34" t="n">
        <x:v>716</x:v>
      </x:c>
      <x:c r="G26" s="34" t="n">
        <x:v>93.03</x:v>
      </x:c>
      <x:c r="H26" s="34"/>
      <x:c r="I26" s="34"/>
      <x:c r="J26" s="34" t="str">
        <x:v>D2</x:v>
      </x:c>
      <x:c r="K26" s="34" t="str">
        <x:v>Scenario-based</x:v>
      </x:c>
      <x:c r="L26" s="34" t="str">
        <x:v>Quantity/penalty inherited from previous 40-batch design; LT shifted +300 h for China–US horizon</x:v>
      </x:c>
    </x:row>
    <x:row r="27">
      <x:c r="A27" s="34" t="n">
        <x:v>24</x:v>
      </x:c>
      <x:c r="B27" s="34" t="str">
        <x:v>Xi'an</x:v>
      </x:c>
      <x:c r="C27" s="34" t="str">
        <x:v>Memphis</x:v>
      </x:c>
      <x:c r="D27" s="34" t="n">
        <x:v>108</x:v>
      </x:c>
      <x:c r="E27" s="34" t="n">
        <x:v>0</x:v>
      </x:c>
      <x:c r="F27" s="34" t="n">
        <x:v>764</x:v>
      </x:c>
      <x:c r="G27" s="34" t="n">
        <x:v>51.97</x:v>
      </x:c>
      <x:c r="H27" s="34"/>
      <x:c r="I27" s="34"/>
      <x:c r="J27" s="34" t="str">
        <x:v>D2</x:v>
      </x:c>
      <x:c r="K27" s="34" t="str">
        <x:v>Scenario-based</x:v>
      </x:c>
      <x:c r="L27" s="34" t="str">
        <x:v>Quantity/penalty inherited from previous 40-batch design; LT shifted +300 h for China–US horizon</x:v>
      </x:c>
    </x:row>
    <x:row r="28">
      <x:c r="A28" s="34" t="n">
        <x:v>25</x:v>
      </x:c>
      <x:c r="B28" s="34" t="str">
        <x:v>Xi'an</x:v>
      </x:c>
      <x:c r="C28" s="34" t="str">
        <x:v>Memphis</x:v>
      </x:c>
      <x:c r="D28" s="34" t="n">
        <x:v>87</x:v>
      </x:c>
      <x:c r="E28" s="34" t="n">
        <x:v>0</x:v>
      </x:c>
      <x:c r="F28" s="34" t="n">
        <x:v>765</x:v>
      </x:c>
      <x:c r="G28" s="34" t="n">
        <x:v>45.95</x:v>
      </x:c>
      <x:c r="H28" s="34"/>
      <x:c r="I28" s="34"/>
      <x:c r="J28" s="34" t="str">
        <x:v>D2</x:v>
      </x:c>
      <x:c r="K28" s="34" t="str">
        <x:v>Scenario-based</x:v>
      </x:c>
      <x:c r="L28" s="34" t="str">
        <x:v>Quantity/penalty inherited from previous 40-batch design; LT shifted +300 h for China–US horizon</x:v>
      </x:c>
    </x:row>
    <x:row r="29">
      <x:c r="A29" s="34" t="n">
        <x:v>26</x:v>
      </x:c>
      <x:c r="B29" s="34" t="str">
        <x:v>Xi'an</x:v>
      </x:c>
      <x:c r="C29" s="34" t="str">
        <x:v>Memphis</x:v>
      </x:c>
      <x:c r="D29" s="34" t="n">
        <x:v>113</x:v>
      </x:c>
      <x:c r="E29" s="34" t="n">
        <x:v>0</x:v>
      </x:c>
      <x:c r="F29" s="34" t="n">
        <x:v>743</x:v>
      </x:c>
      <x:c r="G29" s="34" t="n">
        <x:v>43.22</x:v>
      </x:c>
      <x:c r="H29" s="34"/>
      <x:c r="I29" s="34"/>
      <x:c r="J29" s="34" t="str">
        <x:v>D2</x:v>
      </x:c>
      <x:c r="K29" s="34" t="str">
        <x:v>Scenario-based</x:v>
      </x:c>
      <x:c r="L29" s="34" t="str">
        <x:v>Quantity/penalty inherited from previous 40-batch design; LT shifted +300 h for China–US horizon</x:v>
      </x:c>
    </x:row>
    <x:row r="30">
      <x:c r="A30" s="34" t="n">
        <x:v>27</x:v>
      </x:c>
      <x:c r="B30" s="34" t="str">
        <x:v>Xi'an</x:v>
      </x:c>
      <x:c r="C30" s="34" t="str">
        <x:v>Memphis</x:v>
      </x:c>
      <x:c r="D30" s="34" t="n">
        <x:v>149</x:v>
      </x:c>
      <x:c r="E30" s="34" t="n">
        <x:v>0</x:v>
      </x:c>
      <x:c r="F30" s="34" t="n">
        <x:v>737</x:v>
      </x:c>
      <x:c r="G30" s="34" t="n">
        <x:v>73.51</x:v>
      </x:c>
      <x:c r="H30" s="34"/>
      <x:c r="I30" s="34"/>
      <x:c r="J30" s="34" t="str">
        <x:v>D2</x:v>
      </x:c>
      <x:c r="K30" s="34" t="str">
        <x:v>Scenario-based</x:v>
      </x:c>
      <x:c r="L30" s="34" t="str">
        <x:v>Quantity/penalty inherited from previous 40-batch design; LT shifted +300 h for China–US horizon</x:v>
      </x:c>
    </x:row>
    <x:row r="31">
      <x:c r="A31" s="34" t="n">
        <x:v>28</x:v>
      </x:c>
      <x:c r="B31" s="34" t="str">
        <x:v>Xi'an</x:v>
      </x:c>
      <x:c r="C31" s="34" t="str">
        <x:v>Memphis</x:v>
      </x:c>
      <x:c r="D31" s="34" t="n">
        <x:v>105</x:v>
      </x:c>
      <x:c r="E31" s="34" t="n">
        <x:v>0</x:v>
      </x:c>
      <x:c r="F31" s="34" t="n">
        <x:v>713</x:v>
      </x:c>
      <x:c r="G31" s="34" t="n">
        <x:v>64.64</x:v>
      </x:c>
      <x:c r="H31" s="34"/>
      <x:c r="I31" s="34"/>
      <x:c r="J31" s="34" t="str">
        <x:v>D2</x:v>
      </x:c>
      <x:c r="K31" s="34" t="str">
        <x:v>Scenario-based</x:v>
      </x:c>
      <x:c r="L31" s="34" t="str">
        <x:v>Quantity/penalty inherited from previous 40-batch design; LT shifted +300 h for China–US horizon</x:v>
      </x:c>
    </x:row>
    <x:row r="32">
      <x:c r="A32" s="34" t="n">
        <x:v>29</x:v>
      </x:c>
      <x:c r="B32" s="34" t="str">
        <x:v>Xi'an</x:v>
      </x:c>
      <x:c r="C32" s="34" t="str">
        <x:v>Memphis</x:v>
      </x:c>
      <x:c r="D32" s="34" t="n">
        <x:v>82</x:v>
      </x:c>
      <x:c r="E32" s="34" t="n">
        <x:v>0</x:v>
      </x:c>
      <x:c r="F32" s="34" t="n">
        <x:v>760</x:v>
      </x:c>
      <x:c r="G32" s="34" t="n">
        <x:v>70.4</x:v>
      </x:c>
      <x:c r="H32" s="34"/>
      <x:c r="I32" s="34"/>
      <x:c r="J32" s="34" t="str">
        <x:v>D2</x:v>
      </x:c>
      <x:c r="K32" s="34" t="str">
        <x:v>Scenario-based</x:v>
      </x:c>
      <x:c r="L32" s="34" t="str">
        <x:v>Quantity/penalty inherited from previous 40-batch design; LT shifted +300 h for China–US horizon</x:v>
      </x:c>
    </x:row>
    <x:row r="33">
      <x:c r="A33" s="34" t="n">
        <x:v>30</x:v>
      </x:c>
      <x:c r="B33" s="34" t="str">
        <x:v>Xi'an</x:v>
      </x:c>
      <x:c r="C33" s="34" t="str">
        <x:v>Memphis</x:v>
      </x:c>
      <x:c r="D33" s="34" t="n">
        <x:v>136</x:v>
      </x:c>
      <x:c r="E33" s="34" t="n">
        <x:v>0</x:v>
      </x:c>
      <x:c r="F33" s="34" t="n">
        <x:v>636</x:v>
      </x:c>
      <x:c r="G33" s="34" t="n">
        <x:v>85.58</x:v>
      </x:c>
      <x:c r="H33" s="34"/>
      <x:c r="I33" s="34"/>
      <x:c r="J33" s="34" t="str">
        <x:v>D2</x:v>
      </x:c>
      <x:c r="K33" s="34" t="str">
        <x:v>Scenario-based</x:v>
      </x:c>
      <x:c r="L33" s="34" t="str">
        <x:v>Quantity/penalty inherited from previous 40-batch design; LT shifted +300 h for China–US horizon</x:v>
      </x:c>
    </x:row>
    <x:row r="34">
      <x:c r="A34" s="34" t="n">
        <x:v>31</x:v>
      </x:c>
      <x:c r="B34" s="34" t="str">
        <x:v>Xi'an</x:v>
      </x:c>
      <x:c r="C34" s="34" t="str">
        <x:v>Memphis</x:v>
      </x:c>
      <x:c r="D34" s="34" t="n">
        <x:v>133</x:v>
      </x:c>
      <x:c r="E34" s="34" t="n">
        <x:v>0</x:v>
      </x:c>
      <x:c r="F34" s="34" t="n">
        <x:v>696</x:v>
      </x:c>
      <x:c r="G34" s="34" t="n">
        <x:v>65</x:v>
      </x:c>
      <x:c r="H34" s="34"/>
      <x:c r="I34" s="34"/>
      <x:c r="J34" s="34" t="str">
        <x:v>D2</x:v>
      </x:c>
      <x:c r="K34" s="34" t="str">
        <x:v>Scenario-based</x:v>
      </x:c>
      <x:c r="L34" s="34" t="str">
        <x:v>Quantity/penalty inherited from previous 40-batch design; LT shifted +300 h for China–US horizon</x:v>
      </x:c>
    </x:row>
    <x:row r="35">
      <x:c r="A35" s="34" t="n">
        <x:v>32</x:v>
      </x:c>
      <x:c r="B35" s="34" t="str">
        <x:v>Xi'an</x:v>
      </x:c>
      <x:c r="C35" s="34" t="str">
        <x:v>Memphis</x:v>
      </x:c>
      <x:c r="D35" s="34" t="n">
        <x:v>92</x:v>
      </x:c>
      <x:c r="E35" s="34" t="n">
        <x:v>0</x:v>
      </x:c>
      <x:c r="F35" s="34" t="n">
        <x:v>803</x:v>
      </x:c>
      <x:c r="G35" s="34" t="n">
        <x:v>99.28</x:v>
      </x:c>
      <x:c r="H35" s="34"/>
      <x:c r="I35" s="34"/>
      <x:c r="J35" s="34" t="str">
        <x:v>D2</x:v>
      </x:c>
      <x:c r="K35" s="34" t="str">
        <x:v>Scenario-based</x:v>
      </x:c>
      <x:c r="L35" s="34" t="str">
        <x:v>Quantity/penalty inherited from previous 40-batch design; LT shifted +300 h for China–US horizon</x:v>
      </x:c>
    </x:row>
    <x:row r="36">
      <x:c r="A36" s="34" t="n">
        <x:v>33</x:v>
      </x:c>
      <x:c r="B36" s="34" t="str">
        <x:v>Xi'an</x:v>
      </x:c>
      <x:c r="C36" s="34" t="str">
        <x:v>Memphis</x:v>
      </x:c>
      <x:c r="D36" s="34" t="n">
        <x:v>98</x:v>
      </x:c>
      <x:c r="E36" s="34" t="n">
        <x:v>0</x:v>
      </x:c>
      <x:c r="F36" s="34" t="n">
        <x:v>702</x:v>
      </x:c>
      <x:c r="G36" s="34" t="n">
        <x:v>81.1</x:v>
      </x:c>
      <x:c r="H36" s="34"/>
      <x:c r="I36" s="34"/>
      <x:c r="J36" s="34" t="str">
        <x:v>D2</x:v>
      </x:c>
      <x:c r="K36" s="34" t="str">
        <x:v>Scenario-based</x:v>
      </x:c>
      <x:c r="L36" s="34" t="str">
        <x:v>Quantity/penalty inherited from previous 40-batch design; LT shifted +300 h for China–US horizon</x:v>
      </x:c>
    </x:row>
    <x:row r="37">
      <x:c r="A37" s="34" t="n">
        <x:v>34</x:v>
      </x:c>
      <x:c r="B37" s="34" t="str">
        <x:v>Xi'an</x:v>
      </x:c>
      <x:c r="C37" s="34" t="str">
        <x:v>Memphis</x:v>
      </x:c>
      <x:c r="D37" s="34" t="n">
        <x:v>106</x:v>
      </x:c>
      <x:c r="E37" s="34" t="n">
        <x:v>0</x:v>
      </x:c>
      <x:c r="F37" s="34" t="n">
        <x:v>740</x:v>
      </x:c>
      <x:c r="G37" s="34" t="n">
        <x:v>59.16</x:v>
      </x:c>
      <x:c r="H37" s="34"/>
      <x:c r="I37" s="34"/>
      <x:c r="J37" s="34" t="str">
        <x:v>D2</x:v>
      </x:c>
      <x:c r="K37" s="34" t="str">
        <x:v>Scenario-based</x:v>
      </x:c>
      <x:c r="L37" s="34" t="str">
        <x:v>Quantity/penalty inherited from previous 40-batch design; LT shifted +300 h for China–US horizon</x:v>
      </x:c>
    </x:row>
    <x:row r="38">
      <x:c r="A38" s="34" t="n">
        <x:v>35</x:v>
      </x:c>
      <x:c r="B38" s="34" t="str">
        <x:v>Xi'an</x:v>
      </x:c>
      <x:c r="C38" s="34" t="str">
        <x:v>Memphis</x:v>
      </x:c>
      <x:c r="D38" s="34" t="n">
        <x:v>116</x:v>
      </x:c>
      <x:c r="E38" s="34" t="n">
        <x:v>0</x:v>
      </x:c>
      <x:c r="F38" s="34" t="n">
        <x:v>813</x:v>
      </x:c>
      <x:c r="G38" s="34" t="n">
        <x:v>92.19</x:v>
      </x:c>
      <x:c r="H38" s="34"/>
      <x:c r="I38" s="34"/>
      <x:c r="J38" s="34" t="str">
        <x:v>D2</x:v>
      </x:c>
      <x:c r="K38" s="34" t="str">
        <x:v>Scenario-based</x:v>
      </x:c>
      <x:c r="L38" s="34" t="str">
        <x:v>Quantity/penalty inherited from previous 40-batch design; LT shifted +300 h for China–US horizon</x:v>
      </x:c>
    </x:row>
    <x:row r="39">
      <x:c r="A39" s="34" t="n">
        <x:v>36</x:v>
      </x:c>
      <x:c r="B39" s="34" t="str">
        <x:v>Xi'an</x:v>
      </x:c>
      <x:c r="C39" s="34" t="str">
        <x:v>Memphis</x:v>
      </x:c>
      <x:c r="D39" s="34" t="n">
        <x:v>101</x:v>
      </x:c>
      <x:c r="E39" s="34" t="n">
        <x:v>0</x:v>
      </x:c>
      <x:c r="F39" s="34" t="n">
        <x:v>665</x:v>
      </x:c>
      <x:c r="G39" s="34" t="n">
        <x:v>96.29</x:v>
      </x:c>
      <x:c r="H39" s="34"/>
      <x:c r="I39" s="34"/>
      <x:c r="J39" s="34" t="str">
        <x:v>D2</x:v>
      </x:c>
      <x:c r="K39" s="34" t="str">
        <x:v>Scenario-based</x:v>
      </x:c>
      <x:c r="L39" s="34" t="str">
        <x:v>Quantity/penalty inherited from previous 40-batch design; LT shifted +300 h for China–US horizon</x:v>
      </x:c>
    </x:row>
    <x:row r="40">
      <x:c r="A40" s="34" t="n">
        <x:v>37</x:v>
      </x:c>
      <x:c r="B40" s="34" t="str">
        <x:v>Xi'an</x:v>
      </x:c>
      <x:c r="C40" s="34" t="str">
        <x:v>Memphis</x:v>
      </x:c>
      <x:c r="D40" s="34" t="n">
        <x:v>82</x:v>
      </x:c>
      <x:c r="E40" s="34" t="n">
        <x:v>0</x:v>
      </x:c>
      <x:c r="F40" s="34" t="n">
        <x:v>691</x:v>
      </x:c>
      <x:c r="G40" s="34" t="n">
        <x:v>49.71</x:v>
      </x:c>
      <x:c r="H40" s="34"/>
      <x:c r="I40" s="34"/>
      <x:c r="J40" s="34" t="str">
        <x:v>D2</x:v>
      </x:c>
      <x:c r="K40" s="34" t="str">
        <x:v>Scenario-based</x:v>
      </x:c>
      <x:c r="L40" s="34" t="str">
        <x:v>Quantity/penalty inherited from previous 40-batch design; LT shifted +300 h for China–US horizon</x:v>
      </x:c>
    </x:row>
    <x:row r="41">
      <x:c r="A41" s="34" t="n">
        <x:v>38</x:v>
      </x:c>
      <x:c r="B41" s="34" t="str">
        <x:v>Xi'an</x:v>
      </x:c>
      <x:c r="C41" s="34" t="str">
        <x:v>Memphis</x:v>
      </x:c>
      <x:c r="D41" s="34" t="n">
        <x:v>84</x:v>
      </x:c>
      <x:c r="E41" s="34" t="n">
        <x:v>0</x:v>
      </x:c>
      <x:c r="F41" s="34" t="n">
        <x:v>726</x:v>
      </x:c>
      <x:c r="G41" s="34" t="n">
        <x:v>36.5</x:v>
      </x:c>
      <x:c r="H41" s="34"/>
      <x:c r="I41" s="34"/>
      <x:c r="J41" s="34" t="str">
        <x:v>D2</x:v>
      </x:c>
      <x:c r="K41" s="34" t="str">
        <x:v>Scenario-based</x:v>
      </x:c>
      <x:c r="L41" s="34" t="str">
        <x:v>Quantity/penalty inherited from previous 40-batch design; LT shifted +300 h for China–US horizon</x:v>
      </x:c>
    </x:row>
    <x:row r="42">
      <x:c r="A42" s="34" t="n">
        <x:v>39</x:v>
      </x:c>
      <x:c r="B42" s="34" t="str">
        <x:v>Xi'an</x:v>
      </x:c>
      <x:c r="C42" s="34" t="str">
        <x:v>Memphis</x:v>
      </x:c>
      <x:c r="D42" s="34" t="n">
        <x:v>140</x:v>
      </x:c>
      <x:c r="E42" s="34" t="n">
        <x:v>0</x:v>
      </x:c>
      <x:c r="F42" s="34" t="n">
        <x:v>747</x:v>
      </x:c>
      <x:c r="G42" s="34" t="n">
        <x:v>64.4</x:v>
      </x:c>
      <x:c r="H42" s="34"/>
      <x:c r="I42" s="34"/>
      <x:c r="J42" s="34" t="str">
        <x:v>D2</x:v>
      </x:c>
      <x:c r="K42" s="34" t="str">
        <x:v>Scenario-based</x:v>
      </x:c>
      <x:c r="L42" s="34" t="str">
        <x:v>Quantity/penalty inherited from previous 40-batch design; LT shifted +300 h for China–US horizon</x:v>
      </x:c>
    </x:row>
    <x:row r="43">
      <x:c r="A43" s="34" t="n">
        <x:v>40</x:v>
      </x:c>
      <x:c r="B43" s="34" t="str">
        <x:v>Xi'an</x:v>
      </x:c>
      <x:c r="C43" s="34" t="str">
        <x:v>Memphis</x:v>
      </x:c>
      <x:c r="D43" s="34" t="n">
        <x:v>113</x:v>
      </x:c>
      <x:c r="E43" s="34" t="n">
        <x:v>0</x:v>
      </x:c>
      <x:c r="F43" s="34" t="n">
        <x:v>740</x:v>
      </x:c>
      <x:c r="G43" s="34" t="n">
        <x:v>92.33</x:v>
      </x:c>
      <x:c r="H43" s="34"/>
      <x:c r="I43" s="34"/>
      <x:c r="J43" s="34" t="str">
        <x:v>D2</x:v>
      </x:c>
      <x:c r="K43" s="34" t="str">
        <x:v>Scenario-based</x:v>
      </x:c>
      <x:c r="L43" s="34" t="str">
        <x:v>Quantity/penalty inherited from previous 40-batch design; LT shifted +300 h for China–US horizon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1814c9b38984645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14" hidden="0" customWidth="1"/>
    <x:col min="5" max="5" width="10" hidden="0" customWidth="1"/>
    <x:col min="6" max="6" width="10" hidden="0" customWidth="1"/>
    <x:col min="7" max="7" width="24" hidden="0" customWidth="1"/>
    <x:col min="8" max="8" width="32" hidden="0" customWidth="1"/>
    <x:col min="9" max="9" width="24" hidden="0" customWidth="1"/>
    <x:col min="10" max="10" width="10" hidden="0" customWidth="1"/>
    <x:col min="11" max="11" width="20" hidden="0" customWidth="1"/>
    <x:col min="12" max="12" width="60" hidden="0" customWidth="1"/>
  </x:cols>
  <x:sheetData>
    <x:row r="1">
      <x:c r="A1" s="46" t="str">
        <x:v>40-batch case — Xi'an → Columbus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3">
      <x:c r="A3" s="51" t="str">
        <x:v>BatchID</x:v>
      </x:c>
      <x:c r="B3" s="51" t="str">
        <x:v>OriginEN</x:v>
      </x:c>
      <x:c r="C3" s="51" t="str">
        <x:v>DestEN</x:v>
      </x:c>
      <x:c r="D3" s="51" t="str">
        <x:v>QuantityTEU</x:v>
      </x:c>
      <x:c r="E3" s="51" t="str">
        <x:v>ET</x:v>
      </x:c>
      <x:c r="F3" s="51" t="str">
        <x:v>LT</x:v>
      </x:c>
      <x:c r="G3" s="51" t="str">
        <x:v>PenaltyCost_per_TEU_h</x:v>
      </x:c>
      <x:c r="H3" s="51" t="str">
        <x:v>DefaultRoute_Nodes</x:v>
      </x:c>
      <x:c r="I3" s="51" t="str">
        <x:v>DefaultRoute_Modes</x:v>
      </x:c>
      <x:c r="J3" s="51" t="str">
        <x:v>CaseID</x:v>
      </x:c>
      <x:c r="K3" s="51" t="str">
        <x:v>DataStatus</x:v>
      </x:c>
      <x:c r="L3" s="51" t="str">
        <x:v>Notes</x:v>
      </x:c>
    </x:row>
    <x:row r="4">
      <x:c r="A4" s="34" t="n">
        <x:v>1</x:v>
      </x:c>
      <x:c r="B4" s="34" t="str">
        <x:v>Xi'an</x:v>
      </x:c>
      <x:c r="C4" s="34" t="str">
        <x:v>Columbus</x:v>
      </x:c>
      <x:c r="D4" s="34" t="n">
        <x:v>120</x:v>
      </x:c>
      <x:c r="E4" s="34" t="n">
        <x:v>0</x:v>
      </x:c>
      <x:c r="F4" s="34" t="n">
        <x:v>660</x:v>
      </x:c>
      <x:c r="G4" s="34" t="n">
        <x:v>100</x:v>
      </x:c>
      <x:c r="H4" s="34"/>
      <x:c r="I4" s="34"/>
      <x:c r="J4" s="34" t="str">
        <x:v>D3</x:v>
      </x:c>
      <x:c r="K4" s="34" t="str">
        <x:v>Scenario-based</x:v>
      </x:c>
      <x:c r="L4" s="34" t="str">
        <x:v>Quantity/penalty inherited from previous 40-batch design; LT shifted +300 h for China–US horizon</x:v>
      </x:c>
    </x:row>
    <x:row r="5">
      <x:c r="A5" s="34" t="n">
        <x:v>2</x:v>
      </x:c>
      <x:c r="B5" s="34" t="str">
        <x:v>Xi'an</x:v>
      </x:c>
      <x:c r="C5" s="34" t="str">
        <x:v>Columbus</x:v>
      </x:c>
      <x:c r="D5" s="34" t="n">
        <x:v>110</x:v>
      </x:c>
      <x:c r="E5" s="34" t="n">
        <x:v>0</x:v>
      </x:c>
      <x:c r="F5" s="34" t="n">
        <x:v>672</x:v>
      </x:c>
      <x:c r="G5" s="34" t="n">
        <x:v>92.22</x:v>
      </x:c>
      <x:c r="H5" s="34"/>
      <x:c r="I5" s="34"/>
      <x:c r="J5" s="34" t="str">
        <x:v>D3</x:v>
      </x:c>
      <x:c r="K5" s="34" t="str">
        <x:v>Scenario-based</x:v>
      </x:c>
      <x:c r="L5" s="34" t="str">
        <x:v>Quantity/penalty inherited from previous 40-batch design; LT shifted +300 h for China–US horizon</x:v>
      </x:c>
    </x:row>
    <x:row r="6">
      <x:c r="A6" s="34" t="n">
        <x:v>3</x:v>
      </x:c>
      <x:c r="B6" s="34" t="str">
        <x:v>Xi'an</x:v>
      </x:c>
      <x:c r="C6" s="34" t="str">
        <x:v>Columbus</x:v>
      </x:c>
      <x:c r="D6" s="34" t="n">
        <x:v>100</x:v>
      </x:c>
      <x:c r="E6" s="34" t="n">
        <x:v>0</x:v>
      </x:c>
      <x:c r="F6" s="34" t="n">
        <x:v>684</x:v>
      </x:c>
      <x:c r="G6" s="34" t="n">
        <x:v>84.44</x:v>
      </x:c>
      <x:c r="H6" s="34"/>
      <x:c r="I6" s="34"/>
      <x:c r="J6" s="34" t="str">
        <x:v>D3</x:v>
      </x:c>
      <x:c r="K6" s="34" t="str">
        <x:v>Scenario-based</x:v>
      </x:c>
      <x:c r="L6" s="34" t="str">
        <x:v>Quantity/penalty inherited from previous 40-batch design; LT shifted +300 h for China–US horizon</x:v>
      </x:c>
    </x:row>
    <x:row r="7">
      <x:c r="A7" s="34" t="n">
        <x:v>4</x:v>
      </x:c>
      <x:c r="B7" s="34" t="str">
        <x:v>Xi'an</x:v>
      </x:c>
      <x:c r="C7" s="34" t="str">
        <x:v>Columbus</x:v>
      </x:c>
      <x:c r="D7" s="34" t="n">
        <x:v>95</x:v>
      </x:c>
      <x:c r="E7" s="34" t="n">
        <x:v>0</x:v>
      </x:c>
      <x:c r="F7" s="34" t="n">
        <x:v>696</x:v>
      </x:c>
      <x:c r="G7" s="34" t="n">
        <x:v>76.67</x:v>
      </x:c>
      <x:c r="H7" s="34"/>
      <x:c r="I7" s="34"/>
      <x:c r="J7" s="34" t="str">
        <x:v>D3</x:v>
      </x:c>
      <x:c r="K7" s="34" t="str">
        <x:v>Scenario-based</x:v>
      </x:c>
      <x:c r="L7" s="34" t="str">
        <x:v>Quantity/penalty inherited from previous 40-batch design; LT shifted +300 h for China–US horizon</x:v>
      </x:c>
    </x:row>
    <x:row r="8">
      <x:c r="A8" s="34" t="n">
        <x:v>5</x:v>
      </x:c>
      <x:c r="B8" s="34" t="str">
        <x:v>Xi'an</x:v>
      </x:c>
      <x:c r="C8" s="34" t="str">
        <x:v>Columbus</x:v>
      </x:c>
      <x:c r="D8" s="34" t="n">
        <x:v>130</x:v>
      </x:c>
      <x:c r="E8" s="34" t="n">
        <x:v>0</x:v>
      </x:c>
      <x:c r="F8" s="34" t="n">
        <x:v>708</x:v>
      </x:c>
      <x:c r="G8" s="34" t="n">
        <x:v>68.89</x:v>
      </x:c>
      <x:c r="H8" s="34"/>
      <x:c r="I8" s="34"/>
      <x:c r="J8" s="34" t="str">
        <x:v>D3</x:v>
      </x:c>
      <x:c r="K8" s="34" t="str">
        <x:v>Scenario-based</x:v>
      </x:c>
      <x:c r="L8" s="34" t="str">
        <x:v>Quantity/penalty inherited from previous 40-batch design; LT shifted +300 h for China–US horizon</x:v>
      </x:c>
    </x:row>
    <x:row r="9">
      <x:c r="A9" s="34" t="n">
        <x:v>6</x:v>
      </x:c>
      <x:c r="B9" s="34" t="str">
        <x:v>Xi'an</x:v>
      </x:c>
      <x:c r="C9" s="34" t="str">
        <x:v>Columbus</x:v>
      </x:c>
      <x:c r="D9" s="34" t="n">
        <x:v>115</x:v>
      </x:c>
      <x:c r="E9" s="34" t="n">
        <x:v>0</x:v>
      </x:c>
      <x:c r="F9" s="34" t="n">
        <x:v>720</x:v>
      </x:c>
      <x:c r="G9" s="34" t="n">
        <x:v>61.11</x:v>
      </x:c>
      <x:c r="H9" s="34"/>
      <x:c r="I9" s="34"/>
      <x:c r="J9" s="34" t="str">
        <x:v>D3</x:v>
      </x:c>
      <x:c r="K9" s="34" t="str">
        <x:v>Scenario-based</x:v>
      </x:c>
      <x:c r="L9" s="34" t="str">
        <x:v>Quantity/penalty inherited from previous 40-batch design; LT shifted +300 h for China–US horizon</x:v>
      </x:c>
    </x:row>
    <x:row r="10">
      <x:c r="A10" s="34" t="n">
        <x:v>7</x:v>
      </x:c>
      <x:c r="B10" s="34" t="str">
        <x:v>Xi'an</x:v>
      </x:c>
      <x:c r="C10" s="34" t="str">
        <x:v>Columbus</x:v>
      </x:c>
      <x:c r="D10" s="34" t="n">
        <x:v>105</x:v>
      </x:c>
      <x:c r="E10" s="34" t="n">
        <x:v>0</x:v>
      </x:c>
      <x:c r="F10" s="34" t="n">
        <x:v>732</x:v>
      </x:c>
      <x:c r="G10" s="34" t="n">
        <x:v>53.33</x:v>
      </x:c>
      <x:c r="H10" s="34"/>
      <x:c r="I10" s="34"/>
      <x:c r="J10" s="34" t="str">
        <x:v>D3</x:v>
      </x:c>
      <x:c r="K10" s="34" t="str">
        <x:v>Scenario-based</x:v>
      </x:c>
      <x:c r="L10" s="34" t="str">
        <x:v>Quantity/penalty inherited from previous 40-batch design; LT shifted +300 h for China–US horizon</x:v>
      </x:c>
    </x:row>
    <x:row r="11">
      <x:c r="A11" s="34" t="n">
        <x:v>8</x:v>
      </x:c>
      <x:c r="B11" s="34" t="str">
        <x:v>Xi'an</x:v>
      </x:c>
      <x:c r="C11" s="34" t="str">
        <x:v>Columbus</x:v>
      </x:c>
      <x:c r="D11" s="34" t="n">
        <x:v>90</x:v>
      </x:c>
      <x:c r="E11" s="34" t="n">
        <x:v>0</x:v>
      </x:c>
      <x:c r="F11" s="34" t="n">
        <x:v>744</x:v>
      </x:c>
      <x:c r="G11" s="34" t="n">
        <x:v>45.56</x:v>
      </x:c>
      <x:c r="H11" s="34"/>
      <x:c r="I11" s="34"/>
      <x:c r="J11" s="34" t="str">
        <x:v>D3</x:v>
      </x:c>
      <x:c r="K11" s="34" t="str">
        <x:v>Scenario-based</x:v>
      </x:c>
      <x:c r="L11" s="34" t="str">
        <x:v>Quantity/penalty inherited from previous 40-batch design; LT shifted +300 h for China–US horizon</x:v>
      </x:c>
    </x:row>
    <x:row r="12">
      <x:c r="A12" s="34" t="n">
        <x:v>9</x:v>
      </x:c>
      <x:c r="B12" s="34" t="str">
        <x:v>Xi'an</x:v>
      </x:c>
      <x:c r="C12" s="34" t="str">
        <x:v>Columbus</x:v>
      </x:c>
      <x:c r="D12" s="34" t="n">
        <x:v>125</x:v>
      </x:c>
      <x:c r="E12" s="34" t="n">
        <x:v>0</x:v>
      </x:c>
      <x:c r="F12" s="34" t="n">
        <x:v>756</x:v>
      </x:c>
      <x:c r="G12" s="34" t="n">
        <x:v>37.78</x:v>
      </x:c>
      <x:c r="H12" s="34"/>
      <x:c r="I12" s="34"/>
      <x:c r="J12" s="34" t="str">
        <x:v>D3</x:v>
      </x:c>
      <x:c r="K12" s="34" t="str">
        <x:v>Scenario-based</x:v>
      </x:c>
      <x:c r="L12" s="34" t="str">
        <x:v>Quantity/penalty inherited from previous 40-batch design; LT shifted +300 h for China–US horizon</x:v>
      </x:c>
    </x:row>
    <x:row r="13">
      <x:c r="A13" s="34" t="n">
        <x:v>10</x:v>
      </x:c>
      <x:c r="B13" s="34" t="str">
        <x:v>Xi'an</x:v>
      </x:c>
      <x:c r="C13" s="34" t="str">
        <x:v>Columbus</x:v>
      </x:c>
      <x:c r="D13" s="34" t="n">
        <x:v>140</x:v>
      </x:c>
      <x:c r="E13" s="34" t="n">
        <x:v>0</x:v>
      </x:c>
      <x:c r="F13" s="34" t="n">
        <x:v>768</x:v>
      </x:c>
      <x:c r="G13" s="34" t="n">
        <x:v>30</x:v>
      </x:c>
      <x:c r="H13" s="34"/>
      <x:c r="I13" s="34"/>
      <x:c r="J13" s="34" t="str">
        <x:v>D3</x:v>
      </x:c>
      <x:c r="K13" s="34" t="str">
        <x:v>Scenario-based</x:v>
      </x:c>
      <x:c r="L13" s="34" t="str">
        <x:v>Quantity/penalty inherited from previous 40-batch design; LT shifted +300 h for China–US horizon</x:v>
      </x:c>
    </x:row>
    <x:row r="14">
      <x:c r="A14" s="34" t="n">
        <x:v>11</x:v>
      </x:c>
      <x:c r="B14" s="34" t="str">
        <x:v>Xi'an</x:v>
      </x:c>
      <x:c r="C14" s="34" t="str">
        <x:v>Columbus</x:v>
      </x:c>
      <x:c r="D14" s="34" t="n">
        <x:v>81</x:v>
      </x:c>
      <x:c r="E14" s="34" t="n">
        <x:v>0</x:v>
      </x:c>
      <x:c r="F14" s="34" t="n">
        <x:v>754</x:v>
      </x:c>
      <x:c r="G14" s="34" t="n">
        <x:v>62.71</x:v>
      </x:c>
      <x:c r="H14" s="34"/>
      <x:c r="I14" s="34"/>
      <x:c r="J14" s="34" t="str">
        <x:v>D3</x:v>
      </x:c>
      <x:c r="K14" s="34" t="str">
        <x:v>Scenario-based</x:v>
      </x:c>
      <x:c r="L14" s="34" t="str">
        <x:v>Quantity/penalty inherited from previous 40-batch design; LT shifted +300 h for China–US horizon</x:v>
      </x:c>
    </x:row>
    <x:row r="15">
      <x:c r="A15" s="34" t="n">
        <x:v>12</x:v>
      </x:c>
      <x:c r="B15" s="34" t="str">
        <x:v>Xi'an</x:v>
      </x:c>
      <x:c r="C15" s="34" t="str">
        <x:v>Columbus</x:v>
      </x:c>
      <x:c r="D15" s="34" t="n">
        <x:v>125</x:v>
      </x:c>
      <x:c r="E15" s="34" t="n">
        <x:v>0</x:v>
      </x:c>
      <x:c r="F15" s="34" t="n">
        <x:v>701</x:v>
      </x:c>
      <x:c r="G15" s="34" t="n">
        <x:v>85.34</x:v>
      </x:c>
      <x:c r="H15" s="34"/>
      <x:c r="I15" s="34"/>
      <x:c r="J15" s="34" t="str">
        <x:v>D3</x:v>
      </x:c>
      <x:c r="K15" s="34" t="str">
        <x:v>Scenario-based</x:v>
      </x:c>
      <x:c r="L15" s="34" t="str">
        <x:v>Quantity/penalty inherited from previous 40-batch design; LT shifted +300 h for China–US horizon</x:v>
      </x:c>
    </x:row>
    <x:row r="16">
      <x:c r="A16" s="34" t="n">
        <x:v>13</x:v>
      </x:c>
      <x:c r="B16" s="34" t="str">
        <x:v>Xi'an</x:v>
      </x:c>
      <x:c r="C16" s="34" t="str">
        <x:v>Columbus</x:v>
      </x:c>
      <x:c r="D16" s="34" t="n">
        <x:v>131</x:v>
      </x:c>
      <x:c r="E16" s="34" t="n">
        <x:v>0</x:v>
      </x:c>
      <x:c r="F16" s="34" t="n">
        <x:v>668</x:v>
      </x:c>
      <x:c r="G16" s="34" t="n">
        <x:v>75.69</x:v>
      </x:c>
      <x:c r="H16" s="34"/>
      <x:c r="I16" s="34"/>
      <x:c r="J16" s="34" t="str">
        <x:v>D3</x:v>
      </x:c>
      <x:c r="K16" s="34" t="str">
        <x:v>Scenario-based</x:v>
      </x:c>
      <x:c r="L16" s="34" t="str">
        <x:v>Quantity/penalty inherited from previous 40-batch design; LT shifted +300 h for China–US horizon</x:v>
      </x:c>
    </x:row>
    <x:row r="17">
      <x:c r="A17" s="34" t="n">
        <x:v>14</x:v>
      </x:c>
      <x:c r="B17" s="34" t="str">
        <x:v>Xi'an</x:v>
      </x:c>
      <x:c r="C17" s="34" t="str">
        <x:v>Columbus</x:v>
      </x:c>
      <x:c r="D17" s="34" t="n">
        <x:v>91</x:v>
      </x:c>
      <x:c r="E17" s="34" t="n">
        <x:v>0</x:v>
      </x:c>
      <x:c r="F17" s="34" t="n">
        <x:v>814</x:v>
      </x:c>
      <x:c r="G17" s="34" t="n">
        <x:v>94.39</x:v>
      </x:c>
      <x:c r="H17" s="34"/>
      <x:c r="I17" s="34"/>
      <x:c r="J17" s="34" t="str">
        <x:v>D3</x:v>
      </x:c>
      <x:c r="K17" s="34" t="str">
        <x:v>Scenario-based</x:v>
      </x:c>
      <x:c r="L17" s="34" t="str">
        <x:v>Quantity/penalty inherited from previous 40-batch design; LT shifted +300 h for China–US horizon</x:v>
      </x:c>
    </x:row>
    <x:row r="18">
      <x:c r="A18" s="34" t="n">
        <x:v>15</x:v>
      </x:c>
      <x:c r="B18" s="34" t="str">
        <x:v>Xi'an</x:v>
      </x:c>
      <x:c r="C18" s="34" t="str">
        <x:v>Columbus</x:v>
      </x:c>
      <x:c r="D18" s="34" t="n">
        <x:v>122</x:v>
      </x:c>
      <x:c r="E18" s="34" t="n">
        <x:v>0</x:v>
      </x:c>
      <x:c r="F18" s="34" t="n">
        <x:v>775</x:v>
      </x:c>
      <x:c r="G18" s="34" t="n">
        <x:v>66.06</x:v>
      </x:c>
      <x:c r="H18" s="34"/>
      <x:c r="I18" s="34"/>
      <x:c r="J18" s="34" t="str">
        <x:v>D3</x:v>
      </x:c>
      <x:c r="K18" s="34" t="str">
        <x:v>Scenario-based</x:v>
      </x:c>
      <x:c r="L18" s="34" t="str">
        <x:v>Quantity/penalty inherited from previous 40-batch design; LT shifted +300 h for China–US horizon</x:v>
      </x:c>
    </x:row>
    <x:row r="19">
      <x:c r="A19" s="34" t="n">
        <x:v>16</x:v>
      </x:c>
      <x:c r="B19" s="34" t="str">
        <x:v>Xi'an</x:v>
      </x:c>
      <x:c r="C19" s="34" t="str">
        <x:v>Columbus</x:v>
      </x:c>
      <x:c r="D19" s="34" t="n">
        <x:v>126</x:v>
      </x:c>
      <x:c r="E19" s="34" t="n">
        <x:v>0</x:v>
      </x:c>
      <x:c r="F19" s="34" t="n">
        <x:v>718</x:v>
      </x:c>
      <x:c r="G19" s="34" t="n">
        <x:v>53.72</x:v>
      </x:c>
      <x:c r="H19" s="34"/>
      <x:c r="I19" s="34"/>
      <x:c r="J19" s="34" t="str">
        <x:v>D3</x:v>
      </x:c>
      <x:c r="K19" s="34" t="str">
        <x:v>Scenario-based</x:v>
      </x:c>
      <x:c r="L19" s="34" t="str">
        <x:v>Quantity/penalty inherited from previous 40-batch design; LT shifted +300 h for China–US horizon</x:v>
      </x:c>
    </x:row>
    <x:row r="20">
      <x:c r="A20" s="34" t="n">
        <x:v>17</x:v>
      </x:c>
      <x:c r="B20" s="34" t="str">
        <x:v>Xi'an</x:v>
      </x:c>
      <x:c r="C20" s="34" t="str">
        <x:v>Columbus</x:v>
      </x:c>
      <x:c r="D20" s="34" t="n">
        <x:v>90</x:v>
      </x:c>
      <x:c r="E20" s="34" t="n">
        <x:v>0</x:v>
      </x:c>
      <x:c r="F20" s="34" t="n">
        <x:v>677</x:v>
      </x:c>
      <x:c r="G20" s="34" t="n">
        <x:v>66.81</x:v>
      </x:c>
      <x:c r="H20" s="34"/>
      <x:c r="I20" s="34"/>
      <x:c r="J20" s="34" t="str">
        <x:v>D3</x:v>
      </x:c>
      <x:c r="K20" s="34" t="str">
        <x:v>Scenario-based</x:v>
      </x:c>
      <x:c r="L20" s="34" t="str">
        <x:v>Quantity/penalty inherited from previous 40-batch design; LT shifted +300 h for China–US horizon</x:v>
      </x:c>
    </x:row>
    <x:row r="21">
      <x:c r="A21" s="34" t="n">
        <x:v>18</x:v>
      </x:c>
      <x:c r="B21" s="34" t="str">
        <x:v>Xi'an</x:v>
      </x:c>
      <x:c r="C21" s="34" t="str">
        <x:v>Columbus</x:v>
      </x:c>
      <x:c r="D21" s="34" t="n">
        <x:v>99</x:v>
      </x:c>
      <x:c r="E21" s="34" t="n">
        <x:v>0</x:v>
      </x:c>
      <x:c r="F21" s="34" t="n">
        <x:v>758</x:v>
      </x:c>
      <x:c r="G21" s="34" t="n">
        <x:v>30.9</x:v>
      </x:c>
      <x:c r="H21" s="34"/>
      <x:c r="I21" s="34"/>
      <x:c r="J21" s="34" t="str">
        <x:v>D3</x:v>
      </x:c>
      <x:c r="K21" s="34" t="str">
        <x:v>Scenario-based</x:v>
      </x:c>
      <x:c r="L21" s="34" t="str">
        <x:v>Quantity/penalty inherited from previous 40-batch design; LT shifted +300 h for China–US horizon</x:v>
      </x:c>
    </x:row>
    <x:row r="22">
      <x:c r="A22" s="34" t="n">
        <x:v>19</x:v>
      </x:c>
      <x:c r="B22" s="34" t="str">
        <x:v>Xi'an</x:v>
      </x:c>
      <x:c r="C22" s="34" t="str">
        <x:v>Columbus</x:v>
      </x:c>
      <x:c r="D22" s="34" t="n">
        <x:v>150</x:v>
      </x:c>
      <x:c r="E22" s="34" t="n">
        <x:v>0</x:v>
      </x:c>
      <x:c r="F22" s="34" t="n">
        <x:v>703</x:v>
      </x:c>
      <x:c r="G22" s="34" t="n">
        <x:v>43.68</x:v>
      </x:c>
      <x:c r="H22" s="34"/>
      <x:c r="I22" s="34"/>
      <x:c r="J22" s="34" t="str">
        <x:v>D3</x:v>
      </x:c>
      <x:c r="K22" s="34" t="str">
        <x:v>Scenario-based</x:v>
      </x:c>
      <x:c r="L22" s="34" t="str">
        <x:v>Quantity/penalty inherited from previous 40-batch design; LT shifted +300 h for China–US horizon</x:v>
      </x:c>
    </x:row>
    <x:row r="23">
      <x:c r="A23" s="34" t="n">
        <x:v>20</x:v>
      </x:c>
      <x:c r="B23" s="34" t="str">
        <x:v>Xi'an</x:v>
      </x:c>
      <x:c r="C23" s="34" t="str">
        <x:v>Columbus</x:v>
      </x:c>
      <x:c r="D23" s="34" t="n">
        <x:v>103</x:v>
      </x:c>
      <x:c r="E23" s="34" t="n">
        <x:v>0</x:v>
      </x:c>
      <x:c r="F23" s="34" t="n">
        <x:v>716</x:v>
      </x:c>
      <x:c r="G23" s="34" t="n">
        <x:v>51</x:v>
      </x:c>
      <x:c r="H23" s="34"/>
      <x:c r="I23" s="34"/>
      <x:c r="J23" s="34" t="str">
        <x:v>D3</x:v>
      </x:c>
      <x:c r="K23" s="34" t="str">
        <x:v>Scenario-based</x:v>
      </x:c>
      <x:c r="L23" s="34" t="str">
        <x:v>Quantity/penalty inherited from previous 40-batch design; LT shifted +300 h for China–US horizon</x:v>
      </x:c>
    </x:row>
    <x:row r="24">
      <x:c r="A24" s="34" t="n">
        <x:v>21</x:v>
      </x:c>
      <x:c r="B24" s="34" t="str">
        <x:v>Xi'an</x:v>
      </x:c>
      <x:c r="C24" s="34" t="str">
        <x:v>Columbus</x:v>
      </x:c>
      <x:c r="D24" s="34" t="n">
        <x:v>146</x:v>
      </x:c>
      <x:c r="E24" s="34" t="n">
        <x:v>0</x:v>
      </x:c>
      <x:c r="F24" s="34" t="n">
        <x:v>797</x:v>
      </x:c>
      <x:c r="G24" s="34" t="n">
        <x:v>85.82</x:v>
      </x:c>
      <x:c r="H24" s="34"/>
      <x:c r="I24" s="34"/>
      <x:c r="J24" s="34" t="str">
        <x:v>D3</x:v>
      </x:c>
      <x:c r="K24" s="34" t="str">
        <x:v>Scenario-based</x:v>
      </x:c>
      <x:c r="L24" s="34" t="str">
        <x:v>Quantity/penalty inherited from previous 40-batch design; LT shifted +300 h for China–US horizon</x:v>
      </x:c>
    </x:row>
    <x:row r="25">
      <x:c r="A25" s="34" t="n">
        <x:v>22</x:v>
      </x:c>
      <x:c r="B25" s="34" t="str">
        <x:v>Xi'an</x:v>
      </x:c>
      <x:c r="C25" s="34" t="str">
        <x:v>Columbus</x:v>
      </x:c>
      <x:c r="D25" s="34" t="n">
        <x:v>94</x:v>
      </x:c>
      <x:c r="E25" s="34" t="n">
        <x:v>0</x:v>
      </x:c>
      <x:c r="F25" s="34" t="n">
        <x:v>699</x:v>
      </x:c>
      <x:c r="G25" s="34" t="n">
        <x:v>96.28</x:v>
      </x:c>
      <x:c r="H25" s="34"/>
      <x:c r="I25" s="34"/>
      <x:c r="J25" s="34" t="str">
        <x:v>D3</x:v>
      </x:c>
      <x:c r="K25" s="34" t="str">
        <x:v>Scenario-based</x:v>
      </x:c>
      <x:c r="L25" s="34" t="str">
        <x:v>Quantity/penalty inherited from previous 40-batch design; LT shifted +300 h for China–US horizon</x:v>
      </x:c>
    </x:row>
    <x:row r="26">
      <x:c r="A26" s="34" t="n">
        <x:v>23</x:v>
      </x:c>
      <x:c r="B26" s="34" t="str">
        <x:v>Xi'an</x:v>
      </x:c>
      <x:c r="C26" s="34" t="str">
        <x:v>Columbus</x:v>
      </x:c>
      <x:c r="D26" s="34" t="n">
        <x:v>122</x:v>
      </x:c>
      <x:c r="E26" s="34" t="n">
        <x:v>0</x:v>
      </x:c>
      <x:c r="F26" s="34" t="n">
        <x:v>716</x:v>
      </x:c>
      <x:c r="G26" s="34" t="n">
        <x:v>93.03</x:v>
      </x:c>
      <x:c r="H26" s="34"/>
      <x:c r="I26" s="34"/>
      <x:c r="J26" s="34" t="str">
        <x:v>D3</x:v>
      </x:c>
      <x:c r="K26" s="34" t="str">
        <x:v>Scenario-based</x:v>
      </x:c>
      <x:c r="L26" s="34" t="str">
        <x:v>Quantity/penalty inherited from previous 40-batch design; LT shifted +300 h for China–US horizon</x:v>
      </x:c>
    </x:row>
    <x:row r="27">
      <x:c r="A27" s="34" t="n">
        <x:v>24</x:v>
      </x:c>
      <x:c r="B27" s="34" t="str">
        <x:v>Xi'an</x:v>
      </x:c>
      <x:c r="C27" s="34" t="str">
        <x:v>Columbus</x:v>
      </x:c>
      <x:c r="D27" s="34" t="n">
        <x:v>108</x:v>
      </x:c>
      <x:c r="E27" s="34" t="n">
        <x:v>0</x:v>
      </x:c>
      <x:c r="F27" s="34" t="n">
        <x:v>764</x:v>
      </x:c>
      <x:c r="G27" s="34" t="n">
        <x:v>51.97</x:v>
      </x:c>
      <x:c r="H27" s="34"/>
      <x:c r="I27" s="34"/>
      <x:c r="J27" s="34" t="str">
        <x:v>D3</x:v>
      </x:c>
      <x:c r="K27" s="34" t="str">
        <x:v>Scenario-based</x:v>
      </x:c>
      <x:c r="L27" s="34" t="str">
        <x:v>Quantity/penalty inherited from previous 40-batch design; LT shifted +300 h for China–US horizon</x:v>
      </x:c>
    </x:row>
    <x:row r="28">
      <x:c r="A28" s="34" t="n">
        <x:v>25</x:v>
      </x:c>
      <x:c r="B28" s="34" t="str">
        <x:v>Xi'an</x:v>
      </x:c>
      <x:c r="C28" s="34" t="str">
        <x:v>Columbus</x:v>
      </x:c>
      <x:c r="D28" s="34" t="n">
        <x:v>87</x:v>
      </x:c>
      <x:c r="E28" s="34" t="n">
        <x:v>0</x:v>
      </x:c>
      <x:c r="F28" s="34" t="n">
        <x:v>765</x:v>
      </x:c>
      <x:c r="G28" s="34" t="n">
        <x:v>45.95</x:v>
      </x:c>
      <x:c r="H28" s="34"/>
      <x:c r="I28" s="34"/>
      <x:c r="J28" s="34" t="str">
        <x:v>D3</x:v>
      </x:c>
      <x:c r="K28" s="34" t="str">
        <x:v>Scenario-based</x:v>
      </x:c>
      <x:c r="L28" s="34" t="str">
        <x:v>Quantity/penalty inherited from previous 40-batch design; LT shifted +300 h for China–US horizon</x:v>
      </x:c>
    </x:row>
    <x:row r="29">
      <x:c r="A29" s="34" t="n">
        <x:v>26</x:v>
      </x:c>
      <x:c r="B29" s="34" t="str">
        <x:v>Xi'an</x:v>
      </x:c>
      <x:c r="C29" s="34" t="str">
        <x:v>Columbus</x:v>
      </x:c>
      <x:c r="D29" s="34" t="n">
        <x:v>113</x:v>
      </x:c>
      <x:c r="E29" s="34" t="n">
        <x:v>0</x:v>
      </x:c>
      <x:c r="F29" s="34" t="n">
        <x:v>743</x:v>
      </x:c>
      <x:c r="G29" s="34" t="n">
        <x:v>43.22</x:v>
      </x:c>
      <x:c r="H29" s="34"/>
      <x:c r="I29" s="34"/>
      <x:c r="J29" s="34" t="str">
        <x:v>D3</x:v>
      </x:c>
      <x:c r="K29" s="34" t="str">
        <x:v>Scenario-based</x:v>
      </x:c>
      <x:c r="L29" s="34" t="str">
        <x:v>Quantity/penalty inherited from previous 40-batch design; LT shifted +300 h for China–US horizon</x:v>
      </x:c>
    </x:row>
    <x:row r="30">
      <x:c r="A30" s="34" t="n">
        <x:v>27</x:v>
      </x:c>
      <x:c r="B30" s="34" t="str">
        <x:v>Xi'an</x:v>
      </x:c>
      <x:c r="C30" s="34" t="str">
        <x:v>Columbus</x:v>
      </x:c>
      <x:c r="D30" s="34" t="n">
        <x:v>149</x:v>
      </x:c>
      <x:c r="E30" s="34" t="n">
        <x:v>0</x:v>
      </x:c>
      <x:c r="F30" s="34" t="n">
        <x:v>737</x:v>
      </x:c>
      <x:c r="G30" s="34" t="n">
        <x:v>73.51</x:v>
      </x:c>
      <x:c r="H30" s="34"/>
      <x:c r="I30" s="34"/>
      <x:c r="J30" s="34" t="str">
        <x:v>D3</x:v>
      </x:c>
      <x:c r="K30" s="34" t="str">
        <x:v>Scenario-based</x:v>
      </x:c>
      <x:c r="L30" s="34" t="str">
        <x:v>Quantity/penalty inherited from previous 40-batch design; LT shifted +300 h for China–US horizon</x:v>
      </x:c>
    </x:row>
    <x:row r="31">
      <x:c r="A31" s="34" t="n">
        <x:v>28</x:v>
      </x:c>
      <x:c r="B31" s="34" t="str">
        <x:v>Xi'an</x:v>
      </x:c>
      <x:c r="C31" s="34" t="str">
        <x:v>Columbus</x:v>
      </x:c>
      <x:c r="D31" s="34" t="n">
        <x:v>105</x:v>
      </x:c>
      <x:c r="E31" s="34" t="n">
        <x:v>0</x:v>
      </x:c>
      <x:c r="F31" s="34" t="n">
        <x:v>713</x:v>
      </x:c>
      <x:c r="G31" s="34" t="n">
        <x:v>64.64</x:v>
      </x:c>
      <x:c r="H31" s="34"/>
      <x:c r="I31" s="34"/>
      <x:c r="J31" s="34" t="str">
        <x:v>D3</x:v>
      </x:c>
      <x:c r="K31" s="34" t="str">
        <x:v>Scenario-based</x:v>
      </x:c>
      <x:c r="L31" s="34" t="str">
        <x:v>Quantity/penalty inherited from previous 40-batch design; LT shifted +300 h for China–US horizon</x:v>
      </x:c>
    </x:row>
    <x:row r="32">
      <x:c r="A32" s="34" t="n">
        <x:v>29</x:v>
      </x:c>
      <x:c r="B32" s="34" t="str">
        <x:v>Xi'an</x:v>
      </x:c>
      <x:c r="C32" s="34" t="str">
        <x:v>Columbus</x:v>
      </x:c>
      <x:c r="D32" s="34" t="n">
        <x:v>82</x:v>
      </x:c>
      <x:c r="E32" s="34" t="n">
        <x:v>0</x:v>
      </x:c>
      <x:c r="F32" s="34" t="n">
        <x:v>760</x:v>
      </x:c>
      <x:c r="G32" s="34" t="n">
        <x:v>70.4</x:v>
      </x:c>
      <x:c r="H32" s="34"/>
      <x:c r="I32" s="34"/>
      <x:c r="J32" s="34" t="str">
        <x:v>D3</x:v>
      </x:c>
      <x:c r="K32" s="34" t="str">
        <x:v>Scenario-based</x:v>
      </x:c>
      <x:c r="L32" s="34" t="str">
        <x:v>Quantity/penalty inherited from previous 40-batch design; LT shifted +300 h for China–US horizon</x:v>
      </x:c>
    </x:row>
    <x:row r="33">
      <x:c r="A33" s="34" t="n">
        <x:v>30</x:v>
      </x:c>
      <x:c r="B33" s="34" t="str">
        <x:v>Xi'an</x:v>
      </x:c>
      <x:c r="C33" s="34" t="str">
        <x:v>Columbus</x:v>
      </x:c>
      <x:c r="D33" s="34" t="n">
        <x:v>136</x:v>
      </x:c>
      <x:c r="E33" s="34" t="n">
        <x:v>0</x:v>
      </x:c>
      <x:c r="F33" s="34" t="n">
        <x:v>636</x:v>
      </x:c>
      <x:c r="G33" s="34" t="n">
        <x:v>85.58</x:v>
      </x:c>
      <x:c r="H33" s="34"/>
      <x:c r="I33" s="34"/>
      <x:c r="J33" s="34" t="str">
        <x:v>D3</x:v>
      </x:c>
      <x:c r="K33" s="34" t="str">
        <x:v>Scenario-based</x:v>
      </x:c>
      <x:c r="L33" s="34" t="str">
        <x:v>Quantity/penalty inherited from previous 40-batch design; LT shifted +300 h for China–US horizon</x:v>
      </x:c>
    </x:row>
    <x:row r="34">
      <x:c r="A34" s="34" t="n">
        <x:v>31</x:v>
      </x:c>
      <x:c r="B34" s="34" t="str">
        <x:v>Xi'an</x:v>
      </x:c>
      <x:c r="C34" s="34" t="str">
        <x:v>Columbus</x:v>
      </x:c>
      <x:c r="D34" s="34" t="n">
        <x:v>133</x:v>
      </x:c>
      <x:c r="E34" s="34" t="n">
        <x:v>0</x:v>
      </x:c>
      <x:c r="F34" s="34" t="n">
        <x:v>696</x:v>
      </x:c>
      <x:c r="G34" s="34" t="n">
        <x:v>65</x:v>
      </x:c>
      <x:c r="H34" s="34"/>
      <x:c r="I34" s="34"/>
      <x:c r="J34" s="34" t="str">
        <x:v>D3</x:v>
      </x:c>
      <x:c r="K34" s="34" t="str">
        <x:v>Scenario-based</x:v>
      </x:c>
      <x:c r="L34" s="34" t="str">
        <x:v>Quantity/penalty inherited from previous 40-batch design; LT shifted +300 h for China–US horizon</x:v>
      </x:c>
    </x:row>
    <x:row r="35">
      <x:c r="A35" s="34" t="n">
        <x:v>32</x:v>
      </x:c>
      <x:c r="B35" s="34" t="str">
        <x:v>Xi'an</x:v>
      </x:c>
      <x:c r="C35" s="34" t="str">
        <x:v>Columbus</x:v>
      </x:c>
      <x:c r="D35" s="34" t="n">
        <x:v>92</x:v>
      </x:c>
      <x:c r="E35" s="34" t="n">
        <x:v>0</x:v>
      </x:c>
      <x:c r="F35" s="34" t="n">
        <x:v>803</x:v>
      </x:c>
      <x:c r="G35" s="34" t="n">
        <x:v>99.28</x:v>
      </x:c>
      <x:c r="H35" s="34"/>
      <x:c r="I35" s="34"/>
      <x:c r="J35" s="34" t="str">
        <x:v>D3</x:v>
      </x:c>
      <x:c r="K35" s="34" t="str">
        <x:v>Scenario-based</x:v>
      </x:c>
      <x:c r="L35" s="34" t="str">
        <x:v>Quantity/penalty inherited from previous 40-batch design; LT shifted +300 h for China–US horizon</x:v>
      </x:c>
    </x:row>
    <x:row r="36">
      <x:c r="A36" s="34" t="n">
        <x:v>33</x:v>
      </x:c>
      <x:c r="B36" s="34" t="str">
        <x:v>Xi'an</x:v>
      </x:c>
      <x:c r="C36" s="34" t="str">
        <x:v>Columbus</x:v>
      </x:c>
      <x:c r="D36" s="34" t="n">
        <x:v>98</x:v>
      </x:c>
      <x:c r="E36" s="34" t="n">
        <x:v>0</x:v>
      </x:c>
      <x:c r="F36" s="34" t="n">
        <x:v>702</x:v>
      </x:c>
      <x:c r="G36" s="34" t="n">
        <x:v>81.1</x:v>
      </x:c>
      <x:c r="H36" s="34"/>
      <x:c r="I36" s="34"/>
      <x:c r="J36" s="34" t="str">
        <x:v>D3</x:v>
      </x:c>
      <x:c r="K36" s="34" t="str">
        <x:v>Scenario-based</x:v>
      </x:c>
      <x:c r="L36" s="34" t="str">
        <x:v>Quantity/penalty inherited from previous 40-batch design; LT shifted +300 h for China–US horizon</x:v>
      </x:c>
    </x:row>
    <x:row r="37">
      <x:c r="A37" s="34" t="n">
        <x:v>34</x:v>
      </x:c>
      <x:c r="B37" s="34" t="str">
        <x:v>Xi'an</x:v>
      </x:c>
      <x:c r="C37" s="34" t="str">
        <x:v>Columbus</x:v>
      </x:c>
      <x:c r="D37" s="34" t="n">
        <x:v>106</x:v>
      </x:c>
      <x:c r="E37" s="34" t="n">
        <x:v>0</x:v>
      </x:c>
      <x:c r="F37" s="34" t="n">
        <x:v>740</x:v>
      </x:c>
      <x:c r="G37" s="34" t="n">
        <x:v>59.16</x:v>
      </x:c>
      <x:c r="H37" s="34"/>
      <x:c r="I37" s="34"/>
      <x:c r="J37" s="34" t="str">
        <x:v>D3</x:v>
      </x:c>
      <x:c r="K37" s="34" t="str">
        <x:v>Scenario-based</x:v>
      </x:c>
      <x:c r="L37" s="34" t="str">
        <x:v>Quantity/penalty inherited from previous 40-batch design; LT shifted +300 h for China–US horizon</x:v>
      </x:c>
    </x:row>
    <x:row r="38">
      <x:c r="A38" s="34" t="n">
        <x:v>35</x:v>
      </x:c>
      <x:c r="B38" s="34" t="str">
        <x:v>Xi'an</x:v>
      </x:c>
      <x:c r="C38" s="34" t="str">
        <x:v>Columbus</x:v>
      </x:c>
      <x:c r="D38" s="34" t="n">
        <x:v>116</x:v>
      </x:c>
      <x:c r="E38" s="34" t="n">
        <x:v>0</x:v>
      </x:c>
      <x:c r="F38" s="34" t="n">
        <x:v>813</x:v>
      </x:c>
      <x:c r="G38" s="34" t="n">
        <x:v>92.19</x:v>
      </x:c>
      <x:c r="H38" s="34"/>
      <x:c r="I38" s="34"/>
      <x:c r="J38" s="34" t="str">
        <x:v>D3</x:v>
      </x:c>
      <x:c r="K38" s="34" t="str">
        <x:v>Scenario-based</x:v>
      </x:c>
      <x:c r="L38" s="34" t="str">
        <x:v>Quantity/penalty inherited from previous 40-batch design; LT shifted +300 h for China–US horizon</x:v>
      </x:c>
    </x:row>
    <x:row r="39">
      <x:c r="A39" s="34" t="n">
        <x:v>36</x:v>
      </x:c>
      <x:c r="B39" s="34" t="str">
        <x:v>Xi'an</x:v>
      </x:c>
      <x:c r="C39" s="34" t="str">
        <x:v>Columbus</x:v>
      </x:c>
      <x:c r="D39" s="34" t="n">
        <x:v>101</x:v>
      </x:c>
      <x:c r="E39" s="34" t="n">
        <x:v>0</x:v>
      </x:c>
      <x:c r="F39" s="34" t="n">
        <x:v>665</x:v>
      </x:c>
      <x:c r="G39" s="34" t="n">
        <x:v>96.29</x:v>
      </x:c>
      <x:c r="H39" s="34"/>
      <x:c r="I39" s="34"/>
      <x:c r="J39" s="34" t="str">
        <x:v>D3</x:v>
      </x:c>
      <x:c r="K39" s="34" t="str">
        <x:v>Scenario-based</x:v>
      </x:c>
      <x:c r="L39" s="34" t="str">
        <x:v>Quantity/penalty inherited from previous 40-batch design; LT shifted +300 h for China–US horizon</x:v>
      </x:c>
    </x:row>
    <x:row r="40">
      <x:c r="A40" s="34" t="n">
        <x:v>37</x:v>
      </x:c>
      <x:c r="B40" s="34" t="str">
        <x:v>Xi'an</x:v>
      </x:c>
      <x:c r="C40" s="34" t="str">
        <x:v>Columbus</x:v>
      </x:c>
      <x:c r="D40" s="34" t="n">
        <x:v>82</x:v>
      </x:c>
      <x:c r="E40" s="34" t="n">
        <x:v>0</x:v>
      </x:c>
      <x:c r="F40" s="34" t="n">
        <x:v>691</x:v>
      </x:c>
      <x:c r="G40" s="34" t="n">
        <x:v>49.71</x:v>
      </x:c>
      <x:c r="H40" s="34"/>
      <x:c r="I40" s="34"/>
      <x:c r="J40" s="34" t="str">
        <x:v>D3</x:v>
      </x:c>
      <x:c r="K40" s="34" t="str">
        <x:v>Scenario-based</x:v>
      </x:c>
      <x:c r="L40" s="34" t="str">
        <x:v>Quantity/penalty inherited from previous 40-batch design; LT shifted +300 h for China–US horizon</x:v>
      </x:c>
    </x:row>
    <x:row r="41">
      <x:c r="A41" s="34" t="n">
        <x:v>38</x:v>
      </x:c>
      <x:c r="B41" s="34" t="str">
        <x:v>Xi'an</x:v>
      </x:c>
      <x:c r="C41" s="34" t="str">
        <x:v>Columbus</x:v>
      </x:c>
      <x:c r="D41" s="34" t="n">
        <x:v>84</x:v>
      </x:c>
      <x:c r="E41" s="34" t="n">
        <x:v>0</x:v>
      </x:c>
      <x:c r="F41" s="34" t="n">
        <x:v>726</x:v>
      </x:c>
      <x:c r="G41" s="34" t="n">
        <x:v>36.5</x:v>
      </x:c>
      <x:c r="H41" s="34"/>
      <x:c r="I41" s="34"/>
      <x:c r="J41" s="34" t="str">
        <x:v>D3</x:v>
      </x:c>
      <x:c r="K41" s="34" t="str">
        <x:v>Scenario-based</x:v>
      </x:c>
      <x:c r="L41" s="34" t="str">
        <x:v>Quantity/penalty inherited from previous 40-batch design; LT shifted +300 h for China–US horizon</x:v>
      </x:c>
    </x:row>
    <x:row r="42">
      <x:c r="A42" s="34" t="n">
        <x:v>39</x:v>
      </x:c>
      <x:c r="B42" s="34" t="str">
        <x:v>Xi'an</x:v>
      </x:c>
      <x:c r="C42" s="34" t="str">
        <x:v>Columbus</x:v>
      </x:c>
      <x:c r="D42" s="34" t="n">
        <x:v>140</x:v>
      </x:c>
      <x:c r="E42" s="34" t="n">
        <x:v>0</x:v>
      </x:c>
      <x:c r="F42" s="34" t="n">
        <x:v>747</x:v>
      </x:c>
      <x:c r="G42" s="34" t="n">
        <x:v>64.4</x:v>
      </x:c>
      <x:c r="H42" s="34"/>
      <x:c r="I42" s="34"/>
      <x:c r="J42" s="34" t="str">
        <x:v>D3</x:v>
      </x:c>
      <x:c r="K42" s="34" t="str">
        <x:v>Scenario-based</x:v>
      </x:c>
      <x:c r="L42" s="34" t="str">
        <x:v>Quantity/penalty inherited from previous 40-batch design; LT shifted +300 h for China–US horizon</x:v>
      </x:c>
    </x:row>
    <x:row r="43">
      <x:c r="A43" s="34" t="n">
        <x:v>40</x:v>
      </x:c>
      <x:c r="B43" s="34" t="str">
        <x:v>Xi'an</x:v>
      </x:c>
      <x:c r="C43" s="34" t="str">
        <x:v>Columbus</x:v>
      </x:c>
      <x:c r="D43" s="34" t="n">
        <x:v>113</x:v>
      </x:c>
      <x:c r="E43" s="34" t="n">
        <x:v>0</x:v>
      </x:c>
      <x:c r="F43" s="34" t="n">
        <x:v>740</x:v>
      </x:c>
      <x:c r="G43" s="34" t="n">
        <x:v>92.33</x:v>
      </x:c>
      <x:c r="H43" s="34"/>
      <x:c r="I43" s="34"/>
      <x:c r="J43" s="34" t="str">
        <x:v>D3</x:v>
      </x:c>
      <x:c r="K43" s="34" t="str">
        <x:v>Scenario-based</x:v>
      </x:c>
      <x:c r="L43" s="34" t="str">
        <x:v>Quantity/penalty inherited from previous 40-batch design; LT shifted +300 h for China–US horizon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df6674cf93e49b5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44" hidden="0" customWidth="1"/>
    <x:col min="4" max="4" width="54" hidden="0" customWidth="1"/>
    <x:col min="5" max="5" width="50" hidden="0" customWidth="1"/>
    <x:col min="6" max="6" width="44" hidden="0" customWidth="1"/>
  </x:cols>
  <x:sheetData>
    <x:row r="1">
      <x:c r="A1" s="46" t="str">
        <x:v>Model-ready Dataset: Assumptions and Limitations</x:v>
      </x:c>
      <x:c r="B1" s="46"/>
      <x:c r="C1" s="46"/>
      <x:c r="D1" s="46"/>
      <x:c r="E1" s="46"/>
      <x:c r="F1" s="46"/>
    </x:row>
    <x:row r="3">
      <x:c r="A3" s="51" t="str">
        <x:v>Item</x:v>
      </x:c>
      <x:c r="B3" s="51" t="str">
        <x:v>Status</x:v>
      </x:c>
      <x:c r="C3" s="51" t="str">
        <x:v>Treatment</x:v>
      </x:c>
      <x:c r="D3" s="51" t="str">
        <x:v>Why</x:v>
      </x:c>
      <x:c r="E3" s="51" t="str">
        <x:v>Source / basis</x:v>
      </x:c>
      <x:c r="F3" s="51" t="str">
        <x:v>Action before final paper</x:v>
      </x:c>
    </x:row>
    <x:row r="4">
      <x:c r="A4" s="34" t="str">
        <x:v>Three inland destinations</x:v>
      </x:c>
      <x:c r="B4" s="34" t="str">
        <x:v>Working selection</x:v>
      </x:c>
      <x:c r="C4" s="34" t="str">
        <x:v>Chicago / Memphis / Columbus, each OD run separately</x:v>
      </x:c>
      <x:c r="D4" s="34" t="str">
        <x:v>Matches locked framework and dual-coast service availability</x:v>
      </x:c>
      <x:c r="E4" s="34" t="str">
        <x:v>BNSF 2026 guide; CMA CGM US rail map</x:v>
      </x:c>
      <x:c r="F4" s="34" t="str">
        <x:v>Keep unless one lane proves unusable</x:v>
      </x:c>
    </x:row>
    <x:row r="5">
      <x:c r="A5" s="34" t="str">
        <x:v>Ocean freight costs</x:v>
      </x:c>
      <x:c r="B5" s="34" t="str">
        <x:v>Recent market average</x:v>
      </x:c>
      <x:c r="C5" s="34" t="str">
        <x:v>USWC $5,861.75/FEU; USEC $7,482/FEU, then divided by 2 TEU</x:v>
      </x:c>
      <x:c r="D5" s="34" t="str">
        <x:v>User requested one representative average</x:v>
      </x:c>
      <x:c r="E5" s="34" t="str">
        <x:v>Drewry WCI 2026 observations</x:v>
      </x:c>
      <x:c r="F5" s="34" t="str">
        <x:v>E6 may still vary USEC–USWC differential</x:v>
      </x:c>
    </x:row>
    <x:row r="6">
      <x:c r="A6" s="34" t="str">
        <x:v>US inland rail cost</x:v>
      </x:c>
      <x:c r="B6" s="34" t="str">
        <x:v>Calibrated public average</x:v>
      </x:c>
      <x:c r="C6" s="34" t="str">
        <x:v>$1.39/mile/load converted to $0.4319/TEU-km assuming 40ft=2TEU</x:v>
      </x:c>
      <x:c r="D6" s="34" t="str">
        <x:v>Exact IPI contract rates are confidential</x:v>
      </x:c>
      <x:c r="E6" s="34" t="str">
        <x:v>Compiled market benchmark</x:v>
      </x:c>
      <x:c r="F6" s="34" t="str">
        <x:v>State explicitly as calibrated public benchmark</x:v>
      </x:c>
    </x:row>
    <x:row r="7">
      <x:c r="A7" s="34" t="str">
        <x:v>US road cost</x:v>
      </x:c>
      <x:c r="B7" s="34" t="str">
        <x:v>Current market benchmark</x:v>
      </x:c>
      <x:c r="C7" s="34" t="str">
        <x:v>$2.93/mile/load converted to $0.9103/TEU-km assuming 40ft=2TEU</x:v>
      </x:c>
      <x:c r="D7" s="34" t="str">
        <x:v>Uses all-in spot rate incl. fuel</x:v>
      </x:c>
      <x:c r="E7" s="34" t="str">
        <x:v>DAT 2026 benchmark</x:v>
      </x:c>
      <x:c r="F7" s="34" t="str">
        <x:v>Use as deterministic road input</x:v>
      </x:c>
    </x:row>
    <x:row r="8">
      <x:c r="A8" s="34" t="str">
        <x:v>Node/arc capacity</x:v>
      </x:c>
      <x:c r="B8" s="34" t="str">
        <x:v>Neutral modelling parameter</x:v>
      </x:c>
      <x:c r="C8" s="34" t="str">
        <x:v>Uniform capacities inherited by mode/node type</x:v>
      </x:c>
      <x:c r="D8" s="34" t="str">
        <x:v>Avoids fabricating gateway-specific physical capacity and avoids predetermining the result</x:v>
      </x:c>
      <x:c r="E8" s="34" t="str">
        <x:v>Existing deterministic dataset</x:v>
      </x:c>
      <x:c r="F8" s="34" t="str">
        <x:v>Panama restriction only changes Panama-exposed service in E5</x:v>
      </x:c>
    </x:row>
    <x:row r="9">
      <x:c r="A9" s="34" t="str">
        <x:v>Batch demand/deadlines</x:v>
      </x:c>
      <x:c r="B9" s="34" t="str">
        <x:v>Scenario data</x:v>
      </x:c>
      <x:c r="C9" s="34" t="str">
        <x:v>40 quantities/penalties inherited; all origins reset to Xi'an; LT +300 h</x:v>
      </x:c>
      <x:c r="D9" s="34" t="str">
        <x:v>No public firm-level shipment batch dataset exists</x:v>
      </x:c>
      <x:c r="E9" s="34" t="str">
        <x:v>Existing 40-batch design</x:v>
      </x:c>
      <x:c r="F9" s="34" t="str">
        <x:v>Label as scenario-based demand data</x:v>
      </x:c>
    </x:row>
    <x:row r="10">
      <x:c r="A10" s="34" t="str">
        <x:v>US rail distance</x:v>
      </x:c>
      <x:c r="B10" s="34" t="str">
        <x:v>Distance proxy</x:v>
      </x:c>
      <x:c r="C10" s="34" t="str">
        <x:v>Highway/corridor mileage used where carrier rail mileage is not public</x:v>
      </x:c>
      <x:c r="D10" s="34" t="str">
        <x:v>Needed to convert public per-mile cost to arc coefficient</x:v>
      </x:c>
      <x:c r="E10" s="34" t="str">
        <x:v>Travelmath / Rome2Rio</x:v>
      </x:c>
      <x:c r="F10" s="34" t="str">
        <x:v>Sensitivity not required unless reviewer asks</x:v>
      </x:c>
    </x:row>
    <x:row r="11">
      <x:c r="A11" s="34" t="str">
        <x:v>Panama node</x:v>
      </x:c>
      <x:c r="B11" s="34" t="str">
        <x:v>Not created</x:v>
      </x:c>
      <x:c r="C11" s="34" t="str">
        <x:v>NY/NJ ocean arcs are flagged PanamaExposed=1</x:v>
      </x:c>
      <x:c r="D11" s="34" t="str">
        <x:v>Avoid false transshipment/handling at Panama</x:v>
      </x:c>
      <x:c r="E11" s="34" t="str">
        <x:v>Locked ChinaUS-Gateway framework</x:v>
      </x:c>
      <x:c r="F11" s="34" t="str">
        <x:v>E5 applies effective service multiplier externally</x:v>
      </x:c>
    </x:row>
  </x:sheetData>
  <x:mergeCells>
    <x:mergeCell ref="A1:F1"/>
  </x:mergeCells>
  <x:pageMargins left="0.7" right="0.7" top="0.75" bottom="0.75" header="0.3" footer="0.3"/>
</x:worksheet>
</file>