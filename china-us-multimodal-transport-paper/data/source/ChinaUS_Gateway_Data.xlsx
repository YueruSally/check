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6019017fc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ff92e4b9a094fb1"/>
    <x:sheet xmlns:r="http://schemas.openxmlformats.org/officeDocument/2006/relationships" name="Baseline_Inputs" sheetId="2" r:id="R021bf3047c9b4d61"/>
    <x:sheet xmlns:r="http://schemas.openxmlformats.org/officeDocument/2006/relationships" name="Ocean_Freight" sheetId="3" r:id="R5b4ca9acb7a54c0c"/>
    <x:sheet xmlns:r="http://schemas.openxmlformats.org/officeDocument/2006/relationships" name="Ocean_Transit" sheetId="4" r:id="R54b29a11d0af4065"/>
    <x:sheet xmlns:r="http://schemas.openxmlformats.org/officeDocument/2006/relationships" name="Panama" sheetId="5" r:id="Rbe037674f07f43ef"/>
    <x:sheet xmlns:r="http://schemas.openxmlformats.org/officeDocument/2006/relationships" name="US_Inland" sheetId="6" r:id="R71ad94446dff431a"/>
    <x:sheet xmlns:r="http://schemas.openxmlformats.org/officeDocument/2006/relationships" name="Gateways_Destinations" sheetId="7" r:id="Rb509a7978347470d"/>
    <x:sheet xmlns:r="http://schemas.openxmlformats.org/officeDocument/2006/relationships" name="Terminal_China" sheetId="8" r:id="Rcf1c5b0f0c9a46d0"/>
    <x:sheet xmlns:r="http://schemas.openxmlformats.org/officeDocument/2006/relationships" name="Data_Gaps" sheetId="9" r:id="R056bb6762b99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#,##0.00"/>
  </x:numFmts>
  <x:fonts count="5">
    <x:font>
      <x:sz val="11"/>
      <x:name val="Carlito"/>
    </x:font>
    <x:font>
      <x:b/>
      <x:sz val="11"/>
      <x:name val="Carlito"/>
    </x:font>
    <x:font>
      <x:i/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35428a0ce4571" /><Relationship Type="http://schemas.openxmlformats.org/officeDocument/2006/relationships/theme" Target="/xl/theme/theme1.xml" Id="R1695cf9fec924ac2" /><Relationship Type="http://schemas.openxmlformats.org/officeDocument/2006/relationships/sharedStrings" Target="/xl/sharedStrings.xml" Id="R149b75823e5146f1" /><Relationship Type="http://schemas.openxmlformats.org/officeDocument/2006/relationships/worksheet" Target="/xl/worksheets/sheet1.xml" Id="R0ff92e4b9a094fb1" /><Relationship Type="http://schemas.openxmlformats.org/officeDocument/2006/relationships/worksheet" Target="/xl/worksheets/sheet2.xml" Id="R021bf3047c9b4d61" /><Relationship Type="http://schemas.openxmlformats.org/officeDocument/2006/relationships/worksheet" Target="/xl/worksheets/sheet3.xml" Id="R5b4ca9acb7a54c0c" /><Relationship Type="http://schemas.openxmlformats.org/officeDocument/2006/relationships/worksheet" Target="/xl/worksheets/sheet4.xml" Id="R54b29a11d0af4065" /><Relationship Type="http://schemas.openxmlformats.org/officeDocument/2006/relationships/worksheet" Target="/xl/worksheets/sheet5.xml" Id="Rbe037674f07f43ef" /><Relationship Type="http://schemas.openxmlformats.org/officeDocument/2006/relationships/worksheet" Target="/xl/worksheets/sheet6.xml" Id="R71ad94446dff431a" /><Relationship Type="http://schemas.openxmlformats.org/officeDocument/2006/relationships/worksheet" Target="/xl/worksheets/sheet7.xml" Id="Rb509a7978347470d" /><Relationship Type="http://schemas.openxmlformats.org/officeDocument/2006/relationships/worksheet" Target="/xl/worksheets/sheet8.xml" Id="Rcf1c5b0f0c9a46d0" /><Relationship Type="http://schemas.openxmlformats.org/officeDocument/2006/relationships/worksheet" Target="/xl/worksheets/sheet9.xml" Id="R056bb6762b994daa" /></Relationships>
</file>

<file path=xl/tables/table1.xml><?xml version="1.0" encoding="utf-8"?>
<x:table xmlns:x="http://schemas.openxmlformats.org/spreadsheetml/2006/main" id="1" name="BaselineInputsTable" displayName="BaselineInputsTable" ref="A3:H13" headerRowCount="1" totalsRowCount="0" totalsRowShown="0">
  <x:tableColumns count="8">
    <x:tableColumn id="1" name="Category"/>
    <x:tableColumn id="2" name="Parameter"/>
    <x:tableColumn id="3" name="Baseline value"/>
    <x:tableColumn id="4" name="Unit"/>
    <x:tableColumn id="5" name="Basis"/>
    <x:tableColumn id="6" name="Model use"/>
    <x:tableColumn id="7" name="Source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ceanFreightTable" displayName="OceanFreightTable" ref="A3:F11" headerRowCount="1" totalsRowCount="0" totalsRowShown="0">
  <x:tableColumns count="6">
    <x:tableColumn id="1" name="Date / week"/>
    <x:tableColumn id="2" name="Shanghai → LA"/>
    <x:tableColumn id="3" name="Shanghai → NY"/>
    <x:tableColumn id="4" name="ΔF = NY − LA"/>
    <x:tableColumn id="5" name="Unit"/>
    <x:tableColumn id="6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ceanTransitTable" displayName="OceanTransitTable" ref="A3:F10" headerRowCount="1" totalsRowCount="0" totalsRowShown="0">
  <x:tableColumns count="6">
    <x:tableColumn id="1" name="Leg"/>
    <x:tableColumn id="2" name="Transit time"/>
    <x:tableColumn id="3" name="Type"/>
    <x:tableColumn id="4" name="Source quality"/>
    <x:tableColumn id="5" name="Source / literature"/>
    <x:tableColumn id="6" name="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InlandTable" displayName="USInlandTable" ref="A3:G10" headerRowCount="1" totalsRowCount="0" totalsRowShown="0">
  <x:tableColumns count="7">
    <x:tableColumn id="1" name="Leg / metric"/>
    <x:tableColumn id="2" name="Value"/>
    <x:tableColumn id="3" name="Unit"/>
    <x:tableColumn id="4" name="Service / basis"/>
    <x:tableColumn id="5" name="Source quality"/>
    <x:tableColumn id="6" name="Source"/>
    <x:tableColumn id="7" name="Model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rminalChinaTable" displayName="TerminalChinaTable" ref="A3:F10" headerRowCount="1" totalsRowCount="0" totalsRowShown="0">
  <x:tableColumns count="6">
    <x:tableColumn id="1" name="Item"/>
    <x:tableColumn id="2" name="Value / finding"/>
    <x:tableColumn id="3" name="Unit"/>
    <x:tableColumn id="4" name="Source quality"/>
    <x:tableColumn id="5" name="Source"/>
    <x:tableColumn id="6" name="Recommended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GapsTable" displayName="DataGapsTable" ref="A3:D9" headerRowCount="1" totalsRowCount="0" totalsRowShown="0">
  <x:tableColumns count="4">
    <x:tableColumn id="1" name="Gap"/>
    <x:tableColumn id="2" name="Why it matters"/>
    <x:tableColumn id="3" name="Agreed workaround"/>
    <x:tableColumn id="4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27974d894b4e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bc90586545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b20f8cef044b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c5c10cc1df46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59bfe11715943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631cfea59de414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7" t="str">
        <x:v>China–US Gateway Selection — Data Workbook</x:v>
      </x:c>
      <x:c r="B1" s="17"/>
      <x:c r="C1" s="17"/>
      <x:c r="D1" s="17"/>
      <x:c r="E1" s="17"/>
      <x:c r="F1" s="17"/>
      <x:c r="G1" s="17"/>
      <x:c r="H1" s="17"/>
    </x:row>
    <x:row r="3">
      <x:c r="A3" s="4" t="str">
        <x:v>Framework keyword</x:v>
      </x:c>
      <x:c r="B3" t="str">
        <x:v>ChinaUS-Gateway</x:v>
      </x:c>
    </x:row>
    <x:row r="4">
      <x:c r="A4" s="4" t="str">
        <x:v>Paper focus</x:v>
      </x:c>
      <x:c r="B4" t="str">
        <x:v>China–US scheduled multi-batch multimodal freight routing</x:v>
      </x:c>
    </x:row>
    <x:row r="5">
      <x:c r="A5" s="4" t="str">
        <x:v>Objectives</x:v>
      </x:c>
      <x:c r="B5" t="str">
        <x:v>Cost + Makespan only</x:v>
      </x:c>
    </x:row>
    <x:row r="6">
      <x:c r="A6" s="4" t="str">
        <x:v>Core comparison</x:v>
      </x:c>
      <x:c r="B6" t="str">
        <x:v>West Coast landbridge vs East Coast all-water</x:v>
      </x:c>
    </x:row>
    <x:row r="7">
      <x:c r="A7" s="4" t="str">
        <x:v>Method</x:v>
      </x:c>
      <x:c r="B7" t="str">
        <x:v>Martins candidate paths + improved NSGA-II</x:v>
      </x:c>
    </x:row>
    <x:row r="8">
      <x:c r="A8" s="4" t="str">
        <x:v>Main scenarios</x:v>
      </x:c>
      <x:c r="B8" t="str">
        <x:v>Panama operational restriction; USWC–USEC ocean freight-rate differential</x:v>
      </x:c>
    </x:row>
    <x:row r="9">
      <x:c r="A9" s="4" t="str">
        <x:v>Current destination preference</x:v>
      </x:c>
      <x:c r="B9" t="str">
        <x:v>Chicago – Memphis – Columbus (subject to final data feasibility check)</x:v>
      </x:c>
    </x:row>
    <x:row r="10">
      <x:c r="A10" s="4" t="str">
        <x:v>Workbook basis</x:v>
      </x:c>
      <x:c r="B10" t="str">
        <x:v>China-US_Gateway_Data_Collection_v1.md, compiled 6 Sep 2026</x:v>
      </x:c>
    </x:row>
    <x:row r="12">
      <x:c r="A12" s="10" t="str">
        <x:v>Baseline prices use representative averages for the deterministic model. Commercial/forwarder estimates are retained as calibration evidence, not treated as confidential carrier contract rates.</x:v>
      </x:c>
      <x:c r="B12" s="10"/>
      <x:c r="C12" s="10"/>
      <x:c r="D12" s="10"/>
      <x:c r="E12" s="10"/>
      <x:c r="F12" s="10"/>
      <x:c r="G12" s="10"/>
      <x:c r="H12" s="10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40" hidden="0" customWidth="1"/>
    <x:col min="6" max="6" width="28" hidden="0" customWidth="1"/>
    <x:col min="7" max="7" width="55" hidden="0" customWidth="1"/>
    <x:col min="8" max="8" width="42" hidden="0" customWidth="1"/>
  </x:cols>
  <x:sheetData>
    <x:row r="1">
      <x:c r="A1" s="17" t="str">
        <x:v>Recommended Baseline Inputs for the First Pilot</x:v>
      </x:c>
      <x:c r="B1" s="17"/>
      <x:c r="C1" s="17"/>
      <x:c r="D1" s="17"/>
      <x:c r="E1" s="17"/>
      <x:c r="F1" s="17"/>
      <x:c r="G1" s="17"/>
      <x:c r="H1" s="17"/>
    </x:row>
    <x:row r="3">
      <x:c r="A3" s="28" t="str">
        <x:v>Category</x:v>
      </x:c>
      <x:c r="B3" s="28" t="str">
        <x:v>Parameter</x:v>
      </x:c>
      <x:c r="C3" s="28" t="str">
        <x:v>Baseline value</x:v>
      </x:c>
      <x:c r="D3" s="28" t="str">
        <x:v>Unit</x:v>
      </x:c>
      <x:c r="E3" s="28" t="str">
        <x:v>Basis</x:v>
      </x:c>
      <x:c r="F3" s="28" t="str">
        <x:v>Model use</x:v>
      </x:c>
      <x:c r="G3" s="28" t="str">
        <x:v>Source</x:v>
      </x:c>
      <x:c r="H3" s="28" t="str">
        <x:v>Notes</x:v>
      </x:c>
    </x:row>
    <x:row r="4">
      <x:c r="A4" s="34" t="str">
        <x:v>Ocean cost</x:v>
      </x:c>
      <x:c r="B4" s="34" t="str">
        <x:v>Shanghai → Los Angeles</x:v>
      </x:c>
      <x:c r="C4" s="35" t="n">
        <x:v>5861.75</x:v>
      </x:c>
      <x:c r="D4" s="34" t="str">
        <x:v>USD / 40ft</x:v>
      </x:c>
      <x:c r="E4" s="34" t="str">
        <x:v>Mean of 8 Drewry/WCI 2026 observations</x:v>
      </x:c>
      <x:c r="F4" s="34" t="str">
        <x:v>USWC ocean arc cost</x:v>
      </x:c>
      <x:c r="G4" s="34" t="str">
        <x:v>https://www.drewry.co.uk/supply-chain-advisors/supply-chain-expertise/world-container-index-assessed-by-drewry</x:v>
      </x:c>
      <x:c r="H4" s="34" t="str">
        <x:v>Representative average; inland transport excluded</x:v>
      </x:c>
    </x:row>
    <x:row r="5">
      <x:c r="A5" s="34" t="str">
        <x:v>Ocean cost</x:v>
      </x:c>
      <x:c r="B5" s="34" t="str">
        <x:v>Shanghai → New York</x:v>
      </x:c>
      <x:c r="C5" s="35" t="n">
        <x:v>7482</x:v>
      </x:c>
      <x:c r="D5" s="34" t="str">
        <x:v>USD / 40ft</x:v>
      </x:c>
      <x:c r="E5" s="34" t="str">
        <x:v>Mean of 8 Drewry/WCI 2026 observations</x:v>
      </x:c>
      <x:c r="F5" s="34" t="str">
        <x:v>USEC ocean arc cost</x:v>
      </x:c>
      <x:c r="G5" s="34" t="str">
        <x:v>https://www.drewry.co.uk/supply-chain-advisors/supply-chain-expertise/world-container-index-assessed-by-drewry</x:v>
      </x:c>
      <x:c r="H5" s="34" t="str">
        <x:v>Representative average; inland transport excluded</x:v>
      </x:c>
    </x:row>
    <x:row r="6">
      <x:c r="A6" s="34" t="str">
        <x:v>Ocean cost</x:v>
      </x:c>
      <x:c r="B6" s="34" t="str">
        <x:v>Average USEC premium ΔF</x:v>
      </x:c>
      <x:c r="C6" s="35" t="n">
        <x:v>1620.25</x:v>
      </x:c>
      <x:c r="D6" s="34" t="str">
        <x:v>USD / 40ft</x:v>
      </x:c>
      <x:c r="E6" s="34" t="str">
        <x:v>Mean of 8 weekly NY–LA differences</x:v>
      </x:c>
      <x:c r="F6" s="34" t="str">
        <x:v>Baseline E6 freight-rate differential</x:v>
      </x:c>
      <x:c r="G6" s="34" t="str">
        <x:v>https://www.drewry.co.uk/supply-chain-advisors/supply-chain-expertise/world-container-index-assessed-by-drewry</x:v>
      </x:c>
      <x:c r="H6" s="34" t="str">
        <x:v>Use one average for baseline; E6 can still test low/high differentials</x:v>
      </x:c>
    </x:row>
    <x:row r="7">
      <x:c r="A7" s="34" t="str">
        <x:v>US rail cost</x:v>
      </x:c>
      <x:c r="B7" s="34" t="str">
        <x:v>LA ↔ Chicago intermodal</x:v>
      </x:c>
      <x:c r="C7" s="35" t="n">
        <x:v>2100</x:v>
      </x:c>
      <x:c r="D7" s="34" t="str">
        <x:v>USD / load</x:v>
      </x:c>
      <x:c r="E7" s="34" t="str">
        <x:v>Midpoint of public $1,800–$2,400 range; supported by alternative $2,100 estimate</x:v>
      </x:c>
      <x:c r="F7" s="34" t="str">
        <x:v>US inland rail calibration</x:v>
      </x:c>
      <x:c r="G7" s="34" t="str">
        <x:v>https://www.up.com/announcements/intermodal/</x:v>
      </x:c>
      <x:c r="H7" s="34" t="str">
        <x:v>Domestic 53ft benchmark; not a confidential 40ft IPI contract rate</x:v>
      </x:c>
    </x:row>
    <x:row r="8">
      <x:c r="A8" s="34" t="str">
        <x:v>US road cost</x:v>
      </x:c>
      <x:c r="B8" s="34" t="str">
        <x:v>Dry van all-in spot</x:v>
      </x:c>
      <x:c r="C8" s="35" t="n">
        <x:v>2.93</x:v>
      </x:c>
      <x:c r="D8" s="34" t="str">
        <x:v>USD / mile</x:v>
      </x:c>
      <x:c r="E8" s="34" t="str">
        <x:v>2026 DAT all-in spot incl. fuel surcharge</x:v>
      </x:c>
      <x:c r="F8" s="34" t="str">
        <x:v>Road alternative cost coefficient</x:v>
      </x:c>
      <x:c r="G8" s="34" t="str">
        <x:v>https://www.dat.com/blog/</x:v>
      </x:c>
      <x:c r="H8" s="34" t="str">
        <x:v>Chosen instead of averaging incompatible spot/contract/ex-fuel series</x:v>
      </x:c>
    </x:row>
    <x:row r="9">
      <x:c r="A9" s="34" t="str">
        <x:v>Terminal handling</x:v>
      </x:c>
      <x:c r="B9" s="34" t="str">
        <x:v>Symmetric handling baseline</x:v>
      </x:c>
      <x:c r="C9" s="35" t="n">
        <x:v>250</x:v>
      </x:c>
      <x:c r="D9" s="34" t="str">
        <x:v>USD / container</x:v>
      </x:c>
      <x:c r="E9" s="34" t="str">
        <x:v>Midpoint of $150–$350 public range</x:v>
      </x:c>
      <x:c r="F9" s="34" t="str">
        <x:v>Transfer/handling cost</x:v>
      </x:c>
      <x:c r="G9" s="34" t="str"/>
      <x:c r="H9" s="34" t="str">
        <x:v>Use as fixed baseline, not a scenario variable</x:v>
      </x:c>
    </x:row>
    <x:row r="10">
      <x:c r="A10" s="34" t="str">
        <x:v>Panama scenario</x:v>
      </x:c>
      <x:c r="B10" s="34" t="str">
        <x:v>Normal α_Panama</x:v>
      </x:c>
      <x:c r="C10" s="35" t="n">
        <x:v>1</x:v>
      </x:c>
      <x:c r="D10" s="34" t="str">
        <x:v>multiplier</x:v>
      </x:c>
      <x:c r="E10" s="34" t="str">
        <x:v>Pre-restriction baseline</x:v>
      </x:c>
      <x:c r="F10" s="34" t="str">
        <x:v>E5</x:v>
      </x:c>
      <x:c r="G10" s="34" t="str">
        <x:v>https://pancanal.com/en/</x:v>
      </x:c>
      <x:c r="H10" s="34" t="str">
        <x:v>Effective service availability, not physical TEU capacity</x:v>
      </x:c>
    </x:row>
    <x:row r="11">
      <x:c r="A11" s="34" t="str">
        <x:v>Panama scenario</x:v>
      </x:c>
      <x:c r="B11" s="34" t="str">
        <x:v>Restricted α_Panama</x:v>
      </x:c>
      <x:c r="C11" s="35" t="n">
        <x:v>0.9</x:v>
      </x:c>
      <x:c r="D11" s="34" t="str">
        <x:v>multiplier</x:v>
      </x:c>
      <x:c r="E11" s="34" t="str">
        <x:v>32/36 total daily slots ≈ 0.889 and 9/10 Neopanamax ≈ 0.90</x:v>
      </x:c>
      <x:c r="F11" s="34" t="str">
        <x:v>E5</x:v>
      </x:c>
      <x:c r="G11" s="34" t="str">
        <x:v>https://pancanal.com/en/</x:v>
      </x:c>
      <x:c r="H11" s="34" t="str">
        <x:v>Empirically grounded 2026 restriction scenario</x:v>
      </x:c>
    </x:row>
    <x:row r="12">
      <x:c r="A12" s="34" t="str">
        <x:v>Panama scenario</x:v>
      </x:c>
      <x:c r="B12" s="34" t="str">
        <x:v>Stress α_Panama</x:v>
      </x:c>
      <x:c r="C12" s="35" t="n">
        <x:v>0.8</x:v>
      </x:c>
      <x:c r="D12" s="34" t="str">
        <x:v>multiplier</x:v>
      </x:c>
      <x:c r="E12" s="34" t="str">
        <x:v>Hypothetical stress extension</x:v>
      </x:c>
      <x:c r="F12" s="34" t="str">
        <x:v>E5</x:v>
      </x:c>
      <x:c r="G12" s="34" t="str">
        <x:v>https://pancanal.com/en/</x:v>
      </x:c>
      <x:c r="H12" s="34" t="str">
        <x:v>Label as stress test, not forecast</x:v>
      </x:c>
    </x:row>
    <x:row r="13">
      <x:c r="A13" s="34" t="str">
        <x:v>Rail time</x:v>
      </x:c>
      <x:c r="B13" s="34" t="str">
        <x:v>LA / Inland Empire → Chicago</x:v>
      </x:c>
      <x:c r="C13" s="35" t="n">
        <x:v>3</x:v>
      </x:c>
      <x:c r="D13" s="34" t="str">
        <x:v>days</x:v>
      </x:c>
      <x:c r="E13" s="34" t="str">
        <x:v>UP expedited intermodal service</x:v>
      </x:c>
      <x:c r="F13" s="34" t="str">
        <x:v>USWC inland timetable anchor</x:v>
      </x:c>
      <x:c r="G13" s="34" t="str">
        <x:v>https://www.up.com/announcements/intermodal/</x:v>
      </x:c>
      <x:c r="H13" s="34" t="str">
        <x:v>Published 5 days/week service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a27974d894b4e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0" hidden="0" customWidth="1"/>
  </x:cols>
  <x:sheetData>
    <x:row r="1">
      <x:c r="A1" s="17" t="str">
        <x:v>Ocean Freight Rate Differential — Drewry WCI 2026</x:v>
      </x:c>
      <x:c r="B1" s="17"/>
      <x:c r="C1" s="17"/>
      <x:c r="D1" s="17"/>
      <x:c r="E1" s="17"/>
      <x:c r="F1" s="17"/>
    </x:row>
    <x:row r="3">
      <x:c r="A3" s="28" t="str">
        <x:v>Date / week</x:v>
      </x:c>
      <x:c r="B3" s="28" t="str">
        <x:v>Shanghai → LA</x:v>
      </x:c>
      <x:c r="C3" s="28" t="str">
        <x:v>Shanghai → NY</x:v>
      </x:c>
      <x:c r="D3" s="28" t="str">
        <x:v>ΔF = NY − LA</x:v>
      </x:c>
      <x:c r="E3" s="28" t="str">
        <x:v>Unit</x:v>
      </x:c>
      <x:c r="F3" s="28" t="str">
        <x:v>Source</x:v>
      </x:c>
    </x:row>
    <x:row r="4">
      <x:c r="A4" t="str">
        <x:v>Week 22 (~28 May)</x:v>
      </x:c>
      <x:c r="B4" s="38" t="n">
        <x:v>3473</x:v>
      </x:c>
      <x:c r="C4" s="38" t="n">
        <x:v>4597</x:v>
      </x:c>
      <x:c r="D4" s="38" t="n">
        <x:f>C4-B4</x:f>
        <x:v>1124</x:v>
      </x:c>
      <x:c r="E4" t="str">
        <x:v>USD / 40ft</x:v>
      </x:c>
      <x:c r="F4" t="str">
        <x:v>Shipping Telegraph / Drewry</x:v>
      </x:c>
    </x:row>
    <x:row r="5">
      <x:c r="A5" t="str">
        <x:v>Week 23 (~11 Jun)</x:v>
      </x:c>
      <x:c r="B5" s="38" t="n">
        <x:v>4565</x:v>
      </x:c>
      <x:c r="C5" s="38" t="n">
        <x:v>5505</x:v>
      </x:c>
      <x:c r="D5" s="38" t="n">
        <x:f>C5-B5</x:f>
        <x:v>940</x:v>
      </x:c>
      <x:c r="E5" t="str">
        <x:v>USD / 40ft</x:v>
      </x:c>
      <x:c r="F5" t="str">
        <x:v>Shipping Telegraph / Drewry</x:v>
      </x:c>
    </x:row>
    <x:row r="6">
      <x:c r="A6" t="str">
        <x:v>25 Jun</x:v>
      </x:c>
      <x:c r="B6" s="38" t="n">
        <x:v>5750</x:v>
      </x:c>
      <x:c r="C6" s="38" t="n">
        <x:v>7149</x:v>
      </x:c>
      <x:c r="D6" s="38" t="n">
        <x:f>C6-B6</x:f>
        <x:v>1399</x:v>
      </x:c>
      <x:c r="E6" t="str">
        <x:v>USD / 40ft</x:v>
      </x:c>
      <x:c r="F6" t="str">
        <x:v>FreshPlaza / Drewry</x:v>
      </x:c>
    </x:row>
    <x:row r="7">
      <x:c r="A7" t="str">
        <x:v>~2 Jul</x:v>
      </x:c>
      <x:c r="B7" s="38" t="n">
        <x:v>6349</x:v>
      </x:c>
      <x:c r="C7" s="38" t="n">
        <x:v>7902</x:v>
      </x:c>
      <x:c r="D7" s="38" t="n">
        <x:f>C7-B7</x:f>
        <x:v>1553</x:v>
      </x:c>
      <x:c r="E7" t="str">
        <x:v>USD / 40ft</x:v>
      </x:c>
      <x:c r="F7" t="str">
        <x:v>Shipping Telegraph / Drewry</x:v>
      </x:c>
    </x:row>
    <x:row r="8">
      <x:c r="A8" t="str">
        <x:v>9 Jul</x:v>
      </x:c>
      <x:c r="B8" s="38" t="n">
        <x:v>6482</x:v>
      </x:c>
      <x:c r="C8" s="38" t="n">
        <x:v>7904</x:v>
      </x:c>
      <x:c r="D8" s="38" t="n">
        <x:f>C8-B8</x:f>
        <x:v>1422</x:v>
      </x:c>
      <x:c r="E8" t="str">
        <x:v>USD / 40ft</x:v>
      </x:c>
      <x:c r="F8" t="str">
        <x:v>Shipping Telegraph / Drewry</x:v>
      </x:c>
    </x:row>
    <x:row r="9">
      <x:c r="A9" t="str">
        <x:v>Aug 2026</x:v>
      </x:c>
      <x:c r="B9" s="38" t="n">
        <x:v>6272</x:v>
      </x:c>
      <x:c r="C9" s="38" t="n">
        <x:v>7879</x:v>
      </x:c>
      <x:c r="D9" s="38" t="n">
        <x:f>C9-B9</x:f>
        <x:v>1607</x:v>
      </x:c>
      <x:c r="E9" t="str">
        <x:v>USD / 40ft</x:v>
      </x:c>
      <x:c r="F9" t="str">
        <x:v>MTS Insights / Drewry</x:v>
      </x:c>
    </x:row>
    <x:row r="10">
      <x:c r="A10" t="str">
        <x:v>27 Aug</x:v>
      </x:c>
      <x:c r="B10" s="38" t="n">
        <x:v>6818</x:v>
      </x:c>
      <x:c r="C10" s="38" t="n">
        <x:v>9333</x:v>
      </x:c>
      <x:c r="D10" s="38" t="n">
        <x:f>C10-B10</x:f>
        <x:v>2515</x:v>
      </x:c>
      <x:c r="E10" t="str">
        <x:v>USD / 40ft</x:v>
      </x:c>
      <x:c r="F10" t="str">
        <x:v>Drewry WCI</x:v>
      </x:c>
    </x:row>
    <x:row r="11">
      <x:c r="A11" t="str">
        <x:v>3 Sep</x:v>
      </x:c>
      <x:c r="B11" s="38" t="n">
        <x:v>7185</x:v>
      </x:c>
      <x:c r="C11" s="38" t="n">
        <x:v>9587</x:v>
      </x:c>
      <x:c r="D11" s="38" t="n">
        <x:f>C11-B11</x:f>
        <x:v>2402</x:v>
      </x:c>
      <x:c r="E11" t="str">
        <x:v>USD / 40ft</x:v>
      </x:c>
      <x:c r="F11" t="str">
        <x:v>Drewry WCI</x:v>
      </x:c>
    </x:row>
    <x:row r="12">
      <x:c r="B12" s="38"/>
      <x:c r="C12" s="38"/>
      <x:c r="D12" s="38"/>
    </x:row>
    <x:row r="13">
      <x:c r="A13" s="28" t="str">
        <x:v>Summary</x:v>
      </x:c>
      <x:c r="B13" s="39" t="str">
        <x:v>Value</x:v>
      </x:c>
      <x:c r="C13" s="38"/>
      <x:c r="D13" s="38"/>
    </x:row>
    <x:row r="14">
      <x:c r="A14" t="str">
        <x:v>Average LA</x:v>
      </x:c>
      <x:c r="B14" s="38" t="n">
        <x:f>AVERAGE(B4:B11)</x:f>
        <x:v>5861.75</x:v>
      </x:c>
      <x:c r="C14" s="38"/>
      <x:c r="D14" s="38"/>
    </x:row>
    <x:row r="15">
      <x:c r="A15" t="str">
        <x:v>Average NY</x:v>
      </x:c>
      <x:c r="B15" s="38" t="n">
        <x:f>AVERAGE(C4:C11)</x:f>
        <x:v>7482</x:v>
      </x:c>
      <x:c r="C15" s="38"/>
      <x:c r="D15" s="38"/>
    </x:row>
    <x:row r="16">
      <x:c r="A16" t="str">
        <x:v>Average ΔF</x:v>
      </x:c>
      <x:c r="B16" s="38" t="n">
        <x:f>AVERAGE(D4:D11)</x:f>
        <x:v>1620.25</x:v>
      </x:c>
      <x:c r="C16" s="38"/>
      <x:c r="D16" s="38"/>
    </x:row>
    <x:row r="17">
      <x:c r="A17" t="str">
        <x:v>Observed ΔF range</x:v>
      </x:c>
      <x:c r="B17" t="str">
        <x:f>TEXT(MIN(D4:D11),"$#,##0")&amp;" – "&amp;TEXT(MAX(D4:D11),"$#,##0")</x:f>
        <x:v>$940 – $2,515</x:v>
      </x:c>
    </x:row>
    <x:row r="19">
      <x:c r="A19" s="34" t="str">
        <x:v>Core source: https://www.drewry.co.uk/supply-chain-advisors/supply-chain-expertise/world-container-index-assessed-by-drewry</x:v>
      </x:c>
      <x:c r="B19" s="34"/>
      <x:c r="C19" s="34"/>
      <x:c r="D19" s="34"/>
      <x:c r="E19" s="34"/>
      <x:c r="F19" s="34"/>
    </x:row>
  </x:sheetData>
  <x:mergeCells>
    <x:mergeCell ref="A1:F1"/>
    <x:mergeCell ref="A19:F19"/>
  </x:mergeCells>
  <x:pageMargins left="0.7" right="0.7" top="0.75" bottom="0.75" header="0.3" footer="0.3"/>
  <x:tableParts count="1">
    <x:tablePart xmlns:r="http://schemas.openxmlformats.org/officeDocument/2006/relationships" r:id="Rabbc9058654541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4" hidden="0" customWidth="1"/>
    <x:col min="5" max="5" width="38" hidden="0" customWidth="1"/>
    <x:col min="6" max="6" width="22" hidden="0" customWidth="1"/>
  </x:cols>
  <x:sheetData>
    <x:row r="1">
      <x:c r="A1" s="17" t="str">
        <x:v>Ocean Transit Time Evidence</x:v>
      </x:c>
      <x:c r="B1" s="17"/>
      <x:c r="C1" s="17"/>
      <x:c r="D1" s="17"/>
      <x:c r="E1" s="17"/>
      <x:c r="F1" s="17"/>
    </x:row>
    <x:row r="3">
      <x:c r="A3" s="28" t="str">
        <x:v>Leg</x:v>
      </x:c>
      <x:c r="B3" s="28" t="str">
        <x:v>Transit time</x:v>
      </x:c>
      <x:c r="C3" s="28" t="str">
        <x:v>Type</x:v>
      </x:c>
      <x:c r="D3" s="28" t="str">
        <x:v>Source quality</x:v>
      </x:c>
      <x:c r="E3" s="28" t="str">
        <x:v>Source / literature</x:v>
      </x:c>
      <x:c r="F3" s="28" t="str">
        <x:v>Use</x:v>
      </x:c>
    </x:row>
    <x:row r="4">
      <x:c r="A4" s="34" t="str">
        <x:v>Shanghai → Los Angeles</x:v>
      </x:c>
      <x:c r="B4" s="34" t="str">
        <x:v>13.9–14.0 d</x:v>
      </x:c>
      <x:c r="C4" s="34" t="str">
        <x:v>2026 average</x:v>
      </x:c>
      <x:c r="D4" s="34" t="str">
        <x:v>Commercial / forwarder</x:v>
      </x:c>
      <x:c r="E4" s="34" t="str">
        <x:v>FreightAmigo 2026</x:v>
      </x:c>
      <x:c r="F4" s="34" t="str">
        <x:v>Calibration only</x:v>
      </x:c>
    </x:row>
    <x:row r="5">
      <x:c r="A5" s="34" t="str">
        <x:v>Shanghai → Los Angeles</x:v>
      </x:c>
      <x:c r="B5" s="34" t="str">
        <x:v>14–18 d</x:v>
      </x:c>
      <x:c r="C5" s="34" t="str">
        <x:v>Direct service range</x:v>
      </x:c>
      <x:c r="D5" s="34" t="str">
        <x:v>Commercial / forwarder</x:v>
      </x:c>
      <x:c r="E5" s="34" t="str">
        <x:v>Suaid Global 2026</x:v>
      </x:c>
      <x:c r="F5" s="34" t="str">
        <x:v>Calibration range</x:v>
      </x:c>
    </x:row>
    <x:row r="6">
      <x:c r="A6" s="34" t="str">
        <x:v>Ningbo → Long Beach</x:v>
      </x:c>
      <x:c r="B6" s="34" t="str">
        <x:v>14–20 d</x:v>
      </x:c>
      <x:c r="C6" s="34" t="str">
        <x:v>Range</x:v>
      </x:c>
      <x:c r="D6" s="34" t="str">
        <x:v>Commercial / forwarder</x:v>
      </x:c>
      <x:c r="E6" s="34" t="str">
        <x:v>FreightAmigo 2026</x:v>
      </x:c>
      <x:c r="F6" s="34" t="str">
        <x:v>Calibration range</x:v>
      </x:c>
    </x:row>
    <x:row r="7">
      <x:c r="A7" s="34" t="str">
        <x:v>China → USWC (LA/LB)</x:v>
      </x:c>
      <x:c r="B7" s="34" t="str">
        <x:v>14–21 d</x:v>
      </x:c>
      <x:c r="C7" s="34" t="str">
        <x:v>FCL range</x:v>
      </x:c>
      <x:c r="D7" s="34" t="str">
        <x:v>Commercial / forwarder</x:v>
      </x:c>
      <x:c r="E7" s="34" t="str">
        <x:v>ExpressOcean 2026</x:v>
      </x:c>
      <x:c r="F7" s="34" t="str">
        <x:v>Context</x:v>
      </x:c>
    </x:row>
    <x:row r="8">
      <x:c r="A8" s="34" t="str">
        <x:v>China → USEC (NY/NJ) via Panama</x:v>
      </x:c>
      <x:c r="B8" s="34" t="str">
        <x:v>28–38 d</x:v>
      </x:c>
      <x:c r="C8" s="34" t="str">
        <x:v>FCL range</x:v>
      </x:c>
      <x:c r="D8" s="34" t="str">
        <x:v>Commercial / forwarder</x:v>
      </x:c>
      <x:c r="E8" s="34" t="str">
        <x:v>ExpressOcean 2026</x:v>
      </x:c>
      <x:c r="F8" s="34" t="str">
        <x:v>Context</x:v>
      </x:c>
    </x:row>
    <x:row r="9">
      <x:c r="A9" s="34" t="str">
        <x:v>Shanghai → New York</x:v>
      </x:c>
      <x:c r="B9" s="34" t="str">
        <x:v>25–32 d</x:v>
      </x:c>
      <x:c r="C9" s="34" t="str">
        <x:v>Direct range</x:v>
      </x:c>
      <x:c r="D9" s="34" t="str">
        <x:v>Commercial / forwarder</x:v>
      </x:c>
      <x:c r="E9" s="34" t="str">
        <x:v>Suaid Global 2026</x:v>
      </x:c>
      <x:c r="F9" s="34" t="str">
        <x:v>Calibration range</x:v>
      </x:c>
    </x:row>
    <x:row r="10">
      <x:c r="A10" s="34" t="str">
        <x:v>Landbridge vs all-water to New York</x:v>
      </x:c>
      <x:c r="B10" s="34" t="str">
        <x:v>≈ 7 d difference</x:v>
      </x:c>
      <x:c r="C10" s="34" t="str">
        <x:v>Literature result</x:v>
      </x:c>
      <x:c r="D10" s="34" t="str">
        <x:v>Academic</x:v>
      </x:c>
      <x:c r="E10" s="34" t="str">
        <x:v>Rodrigue / port hinterland literature</x:v>
      </x:c>
      <x:c r="F10" s="34" t="str">
        <x:v>RQ1 context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1b20f8cef044b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7" t="str">
        <x:v>Panama Canal Operational Restriction Data</x:v>
      </x:c>
      <x:c r="B1" s="17"/>
      <x:c r="C1" s="17"/>
      <x:c r="D1" s="17"/>
      <x:c r="E1" s="17"/>
      <x:c r="F1" s="17"/>
    </x:row>
    <x:row r="3">
      <x:c r="A3" s="28" t="str">
        <x:v>Effective date</x:v>
      </x:c>
      <x:c r="B3" s="28" t="str">
        <x:v>Neopanamax slots/day</x:v>
      </x:c>
      <x:c r="C3" s="28" t="str">
        <x:v>Panamax slots/day</x:v>
      </x:c>
      <x:c r="D3" s="28" t="str">
        <x:v>Total slots/day</x:v>
      </x:c>
    </x:row>
    <x:row r="4">
      <x:c r="A4" t="str">
        <x:v>Normal / design</x:v>
      </x:c>
      <x:c r="B4" t="n">
        <x:v>10</x:v>
      </x:c>
      <x:c r="C4" t="n">
        <x:v>26</x:v>
      </x:c>
      <x:c r="D4" t="n">
        <x:v>36</x:v>
      </x:c>
    </x:row>
    <x:row r="5">
      <x:c r="A5" t="str">
        <x:v>From 4 Sep 2026</x:v>
      </x:c>
      <x:c r="B5" t="n">
        <x:v>9</x:v>
      </x:c>
      <x:c r="C5" t="n">
        <x:v>25</x:v>
      </x:c>
      <x:c r="D5" t="n">
        <x:v>34</x:v>
      </x:c>
    </x:row>
    <x:row r="6">
      <x:c r="A6" t="str">
        <x:v>From 15 Sep 2026</x:v>
      </x:c>
      <x:c r="B6" t="n">
        <x:v>9</x:v>
      </x:c>
      <x:c r="C6" t="n">
        <x:v>23</x:v>
      </x:c>
      <x:c r="D6" t="n">
        <x:v>32</x:v>
      </x:c>
    </x:row>
    <x:row r="9">
      <x:c r="A9" s="28" t="str">
        <x:v>Scenario</x:v>
      </x:c>
      <x:c r="B9" s="28" t="str">
        <x:v>α_Panama</x:v>
      </x:c>
      <x:c r="C9" s="28" t="str">
        <x:v>Basis</x:v>
      </x:c>
    </x:row>
    <x:row r="10">
      <x:c r="A10" t="str">
        <x:v>Normal</x:v>
      </x:c>
      <x:c r="B10" s="22" t="n">
        <x:v>1</x:v>
      </x:c>
      <x:c r="C10" t="str">
        <x:v>Pre-restriction baseline</x:v>
      </x:c>
    </x:row>
    <x:row r="11">
      <x:c r="A11" t="str">
        <x:v>Restricted</x:v>
      </x:c>
      <x:c r="B11" s="22" t="n">
        <x:v>0.9</x:v>
      </x:c>
      <x:c r="C11" t="str">
        <x:v>Official 2026 slot restrictions: 32/36≈0.889 and 9/10=0.90</x:v>
      </x:c>
    </x:row>
    <x:row r="12">
      <x:c r="A12" t="str">
        <x:v>Stress</x:v>
      </x:c>
      <x:c r="B12" s="22" t="n">
        <x:v>0.8</x:v>
      </x:c>
      <x:c r="C12" t="str">
        <x:v>Hypothetical extension; stress test only</x:v>
      </x:c>
    </x:row>
    <x:row r="15">
      <x:c r="A15" s="28" t="str">
        <x:v>Date</x:v>
      </x:c>
      <x:c r="B15" s="28" t="str">
        <x:v>Max authorised draft</x:v>
      </x:c>
      <x:c r="C15" s="28" t="str">
        <x:v>Status</x:v>
      </x:c>
    </x:row>
    <x:row r="16">
      <x:c r="A16" t="str">
        <x:v>Design maximum</x:v>
      </x:c>
      <x:c r="B16" t="str">
        <x:v>15.24 m / 50.0 ft</x:v>
      </x:c>
      <x:c r="C16" t="str">
        <x:v>—</x:v>
      </x:c>
    </x:row>
    <x:row r="17">
      <x:c r="A17" t="str">
        <x:v>3 Jul 2026</x:v>
      </x:c>
      <x:c r="B17" t="str">
        <x:v>15.09 m / 49.5 ft</x:v>
      </x:c>
      <x:c r="C17" t="str">
        <x:v>in force</x:v>
      </x:c>
    </x:row>
    <x:row r="18">
      <x:c r="A18" t="str">
        <x:v>24 Jul 2026</x:v>
      </x:c>
      <x:c r="B18" t="str">
        <x:v>14.94 m / 49.0 ft</x:v>
      </x:c>
      <x:c r="C18" t="str">
        <x:v>in force</x:v>
      </x:c>
    </x:row>
    <x:row r="19">
      <x:c r="A19" t="str">
        <x:v>15 Aug 2026</x:v>
      </x:c>
      <x:c r="B19" t="str">
        <x:v>14.78 m / 48.5 ft</x:v>
      </x:c>
      <x:c r="C19" t="str">
        <x:v>in force</x:v>
      </x:c>
    </x:row>
    <x:row r="20">
      <x:c r="A20" t="str">
        <x:v>2 Sep 2026</x:v>
      </x:c>
      <x:c r="B20" t="str">
        <x:v>14.63 m / 48.0 ft</x:v>
      </x:c>
      <x:c r="C20" t="str">
        <x:v>postponed from 26 Aug</x:v>
      </x:c>
    </x:row>
    <x:row r="21">
      <x:c r="A21" t="str">
        <x:v>1 Oct 2026</x:v>
      </x:c>
      <x:c r="B21" t="str">
        <x:v>14.48 m / 47.5 ft</x:v>
      </x:c>
      <x:c r="C21" t="str">
        <x:v>postponed from 3 Sep</x:v>
      </x:c>
    </x:row>
    <x:row r="24">
      <x:c r="A24" s="34" t="str">
        <x:v>Primary source: Panama Canal Authority (ACP), 2026 advisories — https://pancanal.com/en/</x:v>
      </x:c>
      <x:c r="B24" s="34"/>
      <x:c r="C24" s="34"/>
      <x:c r="D24" s="34"/>
      <x:c r="E24" s="34"/>
      <x:c r="F24" s="34"/>
    </x:row>
  </x:sheetData>
  <x:mergeCells>
    <x:mergeCell ref="A1:F1"/>
    <x:mergeCell ref="A24:F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34" hidden="0" customWidth="1"/>
    <x:col min="5" max="5" width="22" hidden="0" customWidth="1"/>
    <x:col min="6" max="6" width="34" hidden="0" customWidth="1"/>
    <x:col min="7" max="7" width="28" hidden="0" customWidth="1"/>
  </x:cols>
  <x:sheetData>
    <x:row r="1">
      <x:c r="A1" s="17" t="str">
        <x:v>US Inland Rail and Road Evidence</x:v>
      </x:c>
      <x:c r="B1" s="17"/>
      <x:c r="C1" s="17"/>
      <x:c r="D1" s="17"/>
      <x:c r="E1" s="17"/>
      <x:c r="F1" s="17"/>
      <x:c r="G1" s="17"/>
    </x:row>
    <x:row r="3">
      <x:c r="A3" s="28" t="str">
        <x:v>Leg / metric</x:v>
      </x:c>
      <x:c r="B3" s="28" t="str">
        <x:v>Value</x:v>
      </x:c>
      <x:c r="C3" s="28" t="str">
        <x:v>Unit</x:v>
      </x:c>
      <x:c r="D3" s="28" t="str">
        <x:v>Service / basis</x:v>
      </x:c>
      <x:c r="E3" s="28" t="str">
        <x:v>Source quality</x:v>
      </x:c>
      <x:c r="F3" s="28" t="str">
        <x:v>Source</x:v>
      </x:c>
      <x:c r="G3" s="28" t="str">
        <x:v>Model use</x:v>
      </x:c>
    </x:row>
    <x:row r="4">
      <x:c r="A4" s="34" t="str">
        <x:v>LA / Inland Empire → Chicago</x:v>
      </x:c>
      <x:c r="B4" s="34" t="n">
        <x:v>3</x:v>
      </x:c>
      <x:c r="C4" s="34" t="str">
        <x:v>days</x:v>
      </x:c>
      <x:c r="D4" s="34" t="str">
        <x:v>UP premium intermodal; 5 days/week</x:v>
      </x:c>
      <x:c r="E4" s="34" t="str">
        <x:v>Official carrier</x:v>
      </x:c>
      <x:c r="F4" s="34" t="str">
        <x:v>https://www.up.com/announcements/intermodal/</x:v>
      </x:c>
      <x:c r="G4" s="34" t="str">
        <x:v>Rail transit/time-table anchor</x:v>
      </x:c>
    </x:row>
    <x:row r="5">
      <x:c r="A5" s="34" t="str">
        <x:v>Seattle → Chicago</x:v>
      </x:c>
      <x:c r="B5" s="34" t="str">
        <x:v>5–6</x:v>
      </x:c>
      <x:c r="C5" s="34" t="str">
        <x:v>days</x:v>
      </x:c>
      <x:c r="D5" s="34" t="str">
        <x:v>Intermodal estimate</x:v>
      </x:c>
      <x:c r="E5" s="34" t="str">
        <x:v>Commercial</x:v>
      </x:c>
      <x:c r="F5" s="34" t="str">
        <x:v>STB Freight</x:v>
      </x:c>
      <x:c r="G5" s="34" t="str">
        <x:v>Calibration</x:v>
      </x:c>
    </x:row>
    <x:row r="6">
      <x:c r="A6" s="34" t="str">
        <x:v>Chicago → Atlanta</x:v>
      </x:c>
      <x:c r="B6" s="34" t="str">
        <x:v>3–4</x:v>
      </x:c>
      <x:c r="C6" s="34" t="str">
        <x:v>days</x:v>
      </x:c>
      <x:c r="D6" s="34" t="str">
        <x:v>Intermodal estimate</x:v>
      </x:c>
      <x:c r="E6" s="34" t="str">
        <x:v>Commercial</x:v>
      </x:c>
      <x:c r="F6" s="34" t="str">
        <x:v>STB Freight</x:v>
      </x:c>
      <x:c r="G6" s="34" t="str">
        <x:v>Calibration</x:v>
      </x:c>
    </x:row>
    <x:row r="7">
      <x:c r="A7" s="34" t="str">
        <x:v>LA ↔ Chicago intermodal cost</x:v>
      </x:c>
      <x:c r="B7" s="34" t="str">
        <x:v>1,800–2,400</x:v>
      </x:c>
      <x:c r="C7" s="34" t="str">
        <x:v>USD/load</x:v>
      </x:c>
      <x:c r="D7" s="34" t="str">
        <x:v>Domestic 53ft public benchmark</x:v>
      </x:c>
      <x:c r="E7" s="34" t="str">
        <x:v>Commercial</x:v>
      </x:c>
      <x:c r="F7" s="34" t="str">
        <x:v>STB Freight / ShipperGuide</x:v>
      </x:c>
      <x:c r="G7" s="34" t="str">
        <x:v>Rail-cost range</x:v>
      </x:c>
    </x:row>
    <x:row r="8">
      <x:c r="A8" s="34" t="str">
        <x:v>LA ↔ Chicago baseline cost</x:v>
      </x:c>
      <x:c r="B8" s="34" t="n">
        <x:v>2100</x:v>
      </x:c>
      <x:c r="C8" s="34" t="str">
        <x:v>USD/load</x:v>
      </x:c>
      <x:c r="D8" s="34" t="str">
        <x:v>Midpoint / representative average</x:v>
      </x:c>
      <x:c r="E8" s="34" t="str">
        <x:v>Derived baseline</x:v>
      </x:c>
      <x:c r="F8" s="34" t="str">
        <x:v>Based on public range</x:v>
      </x:c>
      <x:c r="G8" s="34" t="str">
        <x:v>Rail-cost input</x:v>
      </x:c>
    </x:row>
    <x:row r="9">
      <x:c r="A9" s="34" t="str">
        <x:v>Spot intermodal rate</x:v>
      </x:c>
      <x:c r="B9" s="34" t="n">
        <x:v>1.39</x:v>
      </x:c>
      <x:c r="C9" s="34" t="str">
        <x:v>USD/mile</x:v>
      </x:c>
      <x:c r="D9" s="34" t="str">
        <x:v>2026 market estimate</x:v>
      </x:c>
      <x:c r="E9" s="34" t="str">
        <x:v>Commercial</x:v>
      </x:c>
      <x:c r="F9" s="34" t="str">
        <x:v>STB Freight</x:v>
      </x:c>
      <x:c r="G9" s="34" t="str">
        <x:v>Alternative rail calibration</x:v>
      </x:c>
    </x:row>
    <x:row r="10">
      <x:c r="A10" s="34" t="str">
        <x:v>US dry van all-in spot</x:v>
      </x:c>
      <x:c r="B10" s="34" t="n">
        <x:v>2.93</x:v>
      </x:c>
      <x:c r="C10" s="34" t="str">
        <x:v>USD/mile</x:v>
      </x:c>
      <x:c r="D10" s="34" t="str">
        <x:v>Incl. fuel surcharge</x:v>
      </x:c>
      <x:c r="E10" s="34" t="str">
        <x:v>Commercial benchmark</x:v>
      </x:c>
      <x:c r="F10" s="34" t="str">
        <x:v>https://www.dat.com/blog/</x:v>
      </x:c>
      <x:c r="G10" s="34" t="str">
        <x:v>Road cost input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dc5c10cc1df46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24" hidden="0" customWidth="1"/>
    <x:col min="5" max="5" width="30" hidden="0" customWidth="1"/>
    <x:col min="6" max="6" width="24" hidden="0" customWidth="1"/>
  </x:cols>
  <x:sheetData>
    <x:row r="1">
      <x:c r="A1" s="17" t="str">
        <x:v>Gateway and Inland Destination Screening</x:v>
      </x:c>
      <x:c r="B1" s="17"/>
      <x:c r="C1" s="17"/>
      <x:c r="D1" s="17"/>
      <x:c r="E1" s="17"/>
      <x:c r="F1" s="17"/>
    </x:row>
    <x:row r="3">
      <x:c r="A3" s="28" t="str">
        <x:v>Gateway</x:v>
      </x:c>
      <x:c r="B3" s="28" t="str">
        <x:v>Coast</x:v>
      </x:c>
      <x:c r="C3" s="28" t="str">
        <x:v>2025 throughput</x:v>
      </x:c>
      <x:c r="D3" s="28" t="str">
        <x:v>Source</x:v>
      </x:c>
      <x:c r="E3" s="28" t="str">
        <x:v>Note</x:v>
      </x:c>
    </x:row>
    <x:row r="4">
      <x:c r="A4" s="34" t="str">
        <x:v>Los Angeles</x:v>
      </x:c>
      <x:c r="B4" s="34" t="str">
        <x:v>West</x:v>
      </x:c>
      <x:c r="C4" s="34" t="str">
        <x:v>&gt;10.0M TEU total; 6.7M loaded</x:v>
      </x:c>
      <x:c r="D4" s="34" t="str">
        <x:v>Port of LA official</x:v>
      </x:c>
      <x:c r="E4" s="34" t="str">
        <x:v>Major USWC gateway</x:v>
      </x:c>
      <x:c r="F4" s="34"/>
    </x:row>
    <x:row r="5">
      <x:c r="A5" s="34" t="str">
        <x:v>Long Beach</x:v>
      </x:c>
      <x:c r="B5" s="34" t="str">
        <x:v>West</x:v>
      </x:c>
      <x:c r="C5" s="34" t="str">
        <x:v>~9.0–9.6M TEU</x:v>
      </x:c>
      <x:c r="D5" s="34" t="str">
        <x:v>Port statistics</x:v>
      </x:c>
      <x:c r="E5" s="34" t="str">
        <x:v>Pair with LA/LB</x:v>
      </x:c>
      <x:c r="F5" s="34"/>
    </x:row>
    <x:row r="6">
      <x:c r="A6" s="34" t="str">
        <x:v>NY/NJ</x:v>
      </x:c>
      <x:c r="B6" s="34" t="str">
        <x:v>East</x:v>
      </x:c>
      <x:c r="C6" s="34" t="str">
        <x:v>~8.9M TEU</x:v>
      </x:c>
      <x:c r="D6" s="34" t="str">
        <x:v>PANYNJ / KBC</x:v>
      </x:c>
      <x:c r="E6" s="34" t="str">
        <x:v>Largest East Coast gateway</x:v>
      </x:c>
      <x:c r="F6" s="34"/>
    </x:row>
    <x:row r="7">
      <x:c r="A7" s="34" t="str">
        <x:v>Seattle/Tacoma (NWSA)</x:v>
      </x:c>
      <x:c r="B7" s="34" t="str">
        <x:v>West</x:v>
      </x:c>
      <x:c r="C7" s="34" t="str">
        <x:v>2.92M TEU YTD Nov 2025</x:v>
      </x:c>
      <x:c r="D7" s="34" t="str">
        <x:v>PMSA</x:v>
      </x:c>
      <x:c r="E7" s="34" t="str">
        <x:v>Secondary WC gateway</x:v>
      </x:c>
      <x:c r="F7" s="34"/>
    </x:row>
    <x:row r="8">
      <x:c r="A8" s="34"/>
      <x:c r="B8" s="34"/>
      <x:c r="C8" s="34"/>
      <x:c r="D8" s="34"/>
      <x:c r="E8" s="34"/>
      <x:c r="F8" s="34"/>
    </x:row>
    <x:row r="9">
      <x:c r="A9" s="34"/>
      <x:c r="B9" s="34"/>
      <x:c r="C9" s="34"/>
      <x:c r="D9" s="34"/>
      <x:c r="E9" s="34"/>
      <x:c r="F9" s="34"/>
    </x:row>
    <x:row r="10">
      <x:c r="A10" s="28" t="str">
        <x:v>Role</x:v>
      </x:c>
      <x:c r="B10" s="28" t="str">
        <x:v>City</x:v>
      </x:c>
      <x:c r="C10" s="28" t="str">
        <x:v>Evidence</x:v>
      </x:c>
      <x:c r="D10" s="28" t="str">
        <x:v>Dual-coast service</x:v>
      </x:c>
      <x:c r="E10" s="28" t="str">
        <x:v>Data availability</x:v>
      </x:c>
      <x:c r="F10" s="28" t="str">
        <x:v>Current status</x:v>
      </x:c>
    </x:row>
    <x:row r="11">
      <x:c r="A11" s="34" t="str">
        <x:v>D1</x:v>
      </x:c>
      <x:c r="B11" s="34" t="str">
        <x:v>Chicago, IL</x:v>
      </x:c>
      <x:c r="C11" s="34" t="str">
        <x:v>Largest inland intermodal market</x:v>
      </x:c>
      <x:c r="D11" s="34" t="str">
        <x:v>Confirmed</x:v>
      </x:c>
      <x:c r="E11" s="34" t="str">
        <x:v>Best</x:v>
      </x:c>
      <x:c r="F11" s="34" t="str">
        <x:v>Preferred</x:v>
      </x:c>
    </x:row>
    <x:row r="12">
      <x:c r="A12" s="34" t="str">
        <x:v>D2</x:v>
      </x:c>
      <x:c r="B12" s="34" t="str">
        <x:v>Memphis, TN</x:v>
      </x:c>
      <x:c r="C12" s="34" t="str">
        <x:v>Contested-zone candidate</x:v>
      </x:c>
      <x:c r="D12" s="34" t="str">
        <x:v>Confirmed</x:v>
      </x:c>
      <x:c r="E12" s="34" t="str">
        <x:v>Good</x:v>
      </x:c>
      <x:c r="F12" s="34" t="str">
        <x:v>Preferred</x:v>
      </x:c>
    </x:row>
    <x:row r="13">
      <x:c r="A13" s="34" t="str">
        <x:v>D3</x:v>
      </x:c>
      <x:c r="B13" s="34" t="str">
        <x:v>Columbus, OH</x:v>
      </x:c>
      <x:c r="C13" s="34" t="str">
        <x:v>Eastern inland candidate</x:v>
      </x:c>
      <x:c r="D13" s="34" t="str">
        <x:v>Confirmed</x:v>
      </x:c>
      <x:c r="E13" s="34" t="str">
        <x:v>Adequate</x:v>
      </x:c>
      <x:c r="F13" s="34" t="str">
        <x:v>Preferred</x:v>
      </x:c>
    </x:row>
    <x:row r="14">
      <x:c r="A14" s="34" t="str">
        <x:v>Fallback</x:v>
      </x:c>
      <x:c r="B14" s="34" t="str">
        <x:v>Dallas / Fort Worth, TX</x:v>
      </x:c>
      <x:c r="C14" s="34" t="str">
        <x:v>Large inland market</x:v>
      </x:c>
      <x:c r="D14" s="34" t="str">
        <x:v>Confirmed</x:v>
      </x:c>
      <x:c r="E14" s="34" t="str">
        <x:v>Moderate</x:v>
      </x:c>
      <x:c r="F14" s="34" t="str">
        <x:v>Alternative for D2</x:v>
      </x:c>
    </x:row>
    <x:row r="15">
      <x:c r="A15" s="34" t="str">
        <x:v>Fallback</x:v>
      </x:c>
      <x:c r="B15" s="34" t="str">
        <x:v>Atlanta, GA</x:v>
      </x:c>
      <x:c r="C15" s="34" t="str">
        <x:v>Large eastern market</x:v>
      </x:c>
      <x:c r="D15" s="34" t="str">
        <x:v>Confirmed</x:v>
      </x:c>
      <x:c r="E15" s="34" t="str">
        <x:v>Good but Savannah becomes relevant</x:v>
      </x:c>
      <x:c r="F15" s="34" t="str">
        <x:v>Alternative for D3</x:v>
      </x:c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 t="str">
        <x:v>Dual-coast rail-service confirmation source: https://www.cma-cgm.com/assets/public/documents/INTERMODAL%20US%20RAIL_3.pdf</x:v>
      </x:c>
      <x:c r="B18" s="34"/>
      <x:c r="C18" s="34"/>
      <x:c r="D18" s="34"/>
      <x:c r="E18" s="34"/>
      <x:c r="F18" s="34"/>
    </x:row>
  </x:sheetData>
  <x:mergeCells>
    <x:mergeCell ref="A1:F1"/>
    <x:mergeCell ref="A18:F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  <x:col min="3" max="3" width="18" hidden="0" customWidth="1"/>
    <x:col min="4" max="4" width="24" hidden="0" customWidth="1"/>
    <x:col min="5" max="5" width="32" hidden="0" customWidth="1"/>
    <x:col min="6" max="6" width="32" hidden="0" customWidth="1"/>
  </x:cols>
  <x:sheetData>
    <x:row r="1">
      <x:c r="A1" s="17" t="str">
        <x:v>Terminal Handling and China-Side Evidence</x:v>
      </x:c>
      <x:c r="B1" s="17"/>
      <x:c r="C1" s="17"/>
      <x:c r="D1" s="17"/>
      <x:c r="E1" s="17"/>
      <x:c r="F1" s="17"/>
    </x:row>
    <x:row r="3">
      <x:c r="A3" s="28" t="str">
        <x:v>Item</x:v>
      </x:c>
      <x:c r="B3" s="28" t="str">
        <x:v>Value / finding</x:v>
      </x:c>
      <x:c r="C3" s="28" t="str">
        <x:v>Unit</x:v>
      </x:c>
      <x:c r="D3" s="28" t="str">
        <x:v>Source quality</x:v>
      </x:c>
      <x:c r="E3" s="28" t="str">
        <x:v>Source</x:v>
      </x:c>
      <x:c r="F3" s="28" t="str">
        <x:v>Recommended use</x:v>
      </x:c>
    </x:row>
    <x:row r="4">
      <x:c r="A4" s="34" t="str">
        <x:v>Generic THC</x:v>
      </x:c>
      <x:c r="B4" s="34" t="str">
        <x:v>150–350</x:v>
      </x:c>
      <x:c r="C4" s="34" t="str">
        <x:v>USD/container</x:v>
      </x:c>
      <x:c r="D4" s="34" t="str">
        <x:v>Commercial range</x:v>
      </x:c>
      <x:c r="E4" s="34" t="str">
        <x:v>Compiled 2026 estimates</x:v>
      </x:c>
      <x:c r="F4" s="34" t="str">
        <x:v>Use 250 baseline</x:v>
      </x:c>
    </x:row>
    <x:row r="5">
      <x:c r="A5" s="34" t="str">
        <x:v>Terminal handling baseline</x:v>
      </x:c>
      <x:c r="B5" s="34" t="n">
        <x:v>250</x:v>
      </x:c>
      <x:c r="C5" s="34" t="str">
        <x:v>USD/container</x:v>
      </x:c>
      <x:c r="D5" s="34" t="str">
        <x:v>Derived baseline</x:v>
      </x:c>
      <x:c r="E5" s="34" t="str">
        <x:v>Midpoint of range</x:v>
      </x:c>
      <x:c r="F5" s="34" t="str">
        <x:v>Fixed handling input</x:v>
      </x:c>
    </x:row>
    <x:row r="6">
      <x:c r="A6" s="34" t="str">
        <x:v>Drayage</x:v>
      </x:c>
      <x:c r="B6" s="34" t="str">
        <x:v>400–1,200</x:v>
      </x:c>
      <x:c r="C6" s="34" t="str">
        <x:v>USD</x:v>
      </x:c>
      <x:c r="D6" s="34" t="str">
        <x:v>Commercial range</x:v>
      </x:c>
      <x:c r="E6" s="34" t="str">
        <x:v>Compiled 2026 estimates</x:v>
      </x:c>
      <x:c r="F6" s="34" t="str">
        <x:v>Only if explicit drayage arc is modelled</x:v>
      </x:c>
    </x:row>
    <x:row r="7">
      <x:c r="A7" s="34" t="str">
        <x:v>Demurrage</x:v>
      </x:c>
      <x:c r="B7" s="34" t="str">
        <x:v>150–350/day after 3–5 free days</x:v>
      </x:c>
      <x:c r="C7" s="34" t="str">
        <x:v>USD/day</x:v>
      </x:c>
      <x:c r="D7" s="34" t="str">
        <x:v>Commercial range</x:v>
      </x:c>
      <x:c r="E7" s="34" t="str">
        <x:v>Compiled 2026 estimates</x:v>
      </x:c>
      <x:c r="F7" s="34" t="str">
        <x:v>Do not include unless modelled explicitly</x:v>
      </x:c>
    </x:row>
    <x:row r="8">
      <x:c r="A8" s="34" t="str">
        <x:v>Xi'an International Port Station</x:v>
      </x:c>
      <x:c r="B8" s="34" t="str">
        <x:v>59 domestic working lines; 18 international container arrival/departure lines; 690,000 m² yard</x:v>
      </x:c>
      <x:c r="C8" s="34" t="str"/>
      <x:c r="D8" s="34" t="str">
        <x:v>Official / media</x:v>
      </x:c>
      <x:c r="E8" s="34" t="str">
        <x:v>China Railway / People's Daily</x:v>
      </x:c>
      <x:c r="F8" s="34" t="str">
        <x:v>Network justification</x:v>
      </x:c>
    </x:row>
    <x:row r="9">
      <x:c r="A9" s="34" t="str">
        <x:v>Xi'an → Ningbo / Qingdao sea-rail</x:v>
      </x:c>
      <x:c r="B9" s="34" t="str">
        <x:v>Regular scheduled operation</x:v>
      </x:c>
      <x:c r="C9" s="34" t="str"/>
      <x:c r="D9" s="34" t="str">
        <x:v>Official regional source</x:v>
      </x:c>
      <x:c r="E9" s="34" t="str">
        <x:v>Shaanxi DRC</x:v>
      </x:c>
      <x:c r="F9" s="34" t="str">
        <x:v>Justifies scheduled China leg</x:v>
      </x:c>
    </x:row>
    <x:row r="10">
      <x:c r="A10" s="34" t="str">
        <x:v>National sea-rail policy</x:v>
      </x:c>
      <x:c r="B10" s="34" t="str">
        <x:v>Fixed train paths and coordinated vessel schedules targeted by 2027</x:v>
      </x:c>
      <x:c r="C10" s="34" t="str"/>
      <x:c r="D10" s="34" t="str">
        <x:v>Official policy</x:v>
      </x:c>
      <x:c r="E10" s="34" t="str">
        <x:v>gov.cn, 交水发〔2025〕91号</x:v>
      </x:c>
      <x:c r="F10" s="34" t="str">
        <x:v>Timetable justification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59bfe11715943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56" hidden="0" customWidth="1"/>
    <x:col min="4" max="4" width="12" hidden="0" customWidth="1"/>
  </x:cols>
  <x:sheetData>
    <x:row r="1">
      <x:c r="A1" s="17" t="str">
        <x:v>Remaining Data Gaps and Agreed Workarounds</x:v>
      </x:c>
      <x:c r="B1" s="17"/>
      <x:c r="C1" s="17"/>
      <x:c r="D1" s="17"/>
    </x:row>
    <x:row r="3">
      <x:c r="A3" s="28" t="str">
        <x:v>Gap</x:v>
      </x:c>
      <x:c r="B3" s="28" t="str">
        <x:v>Why it matters</x:v>
      </x:c>
      <x:c r="C3" s="28" t="str">
        <x:v>Agreed workaround</x:v>
      </x:c>
      <x:c r="D3" s="28" t="str">
        <x:v>Priority</x:v>
      </x:c>
    </x:row>
    <x:row r="4">
      <x:c r="A4" s="34" t="str">
        <x:v>Carrier IPI / through-rate breakdowns</x:v>
      </x:c>
      <x:c r="B4" s="34" t="str">
        <x:v>Exact 40ft marine-box gateway-to-inland rail price is not public</x:v>
      </x:c>
      <x:c r="C4" s="34" t="str">
        <x:v>Use recent public domestic intermodal benchmarks / per-mile calibration; report as assumption</x:v>
      </x:c>
      <x:c r="D4" s="34" t="str">
        <x:v>High</x:v>
      </x:c>
    </x:row>
    <x:row r="5">
      <x:c r="A5" s="34" t="str">
        <x:v>Per-service rail schedules / frequency</x:v>
      </x:c>
      <x:c r="B5" s="34" t="str">
        <x:v>Needed for schedule waiting</x:v>
      </x:c>
      <x:c r="C5" s="34" t="str">
        <x:v>Use official anchors where published (e.g., UP 5×/week) and documented schedule tools</x:v>
      </x:c>
      <x:c r="D5" s="34" t="str">
        <x:v>High</x:v>
      </x:c>
    </x:row>
    <x:row r="6">
      <x:c r="A6" s="34" t="str">
        <x:v>Vessel-level sailing schedules</x:v>
      </x:c>
      <x:c r="B6" s="34" t="str">
        <x:v>Needed for departure timetable</x:v>
      </x:c>
      <x:c r="C6" s="34" t="str">
        <x:v>Collect named carrier services manually; weekly service structure is public</x:v>
      </x:c>
      <x:c r="D6" s="34" t="str">
        <x:v>High</x:v>
      </x:c>
    </x:row>
    <x:row r="7">
      <x:c r="A7" s="34" t="str">
        <x:v>Current PierPASS / terminal charges</x:v>
      </x:c>
      <x:c r="B7" s="34" t="str">
        <x:v>Minor cost detail</x:v>
      </x:c>
      <x:c r="C7" s="34" t="str">
        <x:v>Update only if used explicitly</x:v>
      </x:c>
      <x:c r="D7" s="34" t="str">
        <x:v>Low</x:v>
      </x:c>
    </x:row>
    <x:row r="8">
      <x:c r="A8" s="34" t="str">
        <x:v>Xi'an → port rail tariff</x:v>
      </x:c>
      <x:c r="B8" s="34" t="str">
        <x:v>China domestic cost input</x:v>
      </x:c>
      <x:c r="C8" s="34" t="str">
        <x:v>Use China Railway published freight tariff structure</x:v>
      </x:c>
      <x:c r="D8" s="34" t="str">
        <x:v>Medium</x:v>
      </x:c>
    </x:row>
    <x:row r="9">
      <x:c r="A9" s="34" t="str">
        <x:v>Panama-exposed service identification</x:v>
      </x:c>
      <x:c r="B9" s="34" t="str">
        <x:v>Needed for E5 classification</x:v>
      </x:c>
      <x:c r="C9" s="34" t="str">
        <x:v>Classify USEC carrier strings that explicitly route via Panama</x:v>
      </x:c>
      <x:c r="D9" s="34" t="str">
        <x:v>High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631cfea59de4143"/>
  </x:tableParts>
</x:worksheet>
</file>